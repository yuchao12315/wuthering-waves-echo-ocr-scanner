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轰轰伤害公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<sst xmlns="http://schemas.openxmlformats.org/spreadsheetml/2006/main" count="353" uniqueCount="172">
  <si>
    <t>炽霞·轰轰 伤害计算公式 完整明细</t>
  </si>
  <si>
    <t>6命 / 死与舞R1 / 技能等级10 / 熔山裂谷5件套 / 梦魇声骸</t>
  </si>
  <si>
    <t>最终公式</t>
  </si>
  <si>
    <t/>
  </si>
  <si>
    <t>期望伤害 = ATK × 倍率 × (1+增伤) × 暴击乘数 × 防御倍率 × 抗性倍率</t>
  </si>
  <si>
    <t>≈ 71,429</t>
  </si>
  <si>
    <t>面板显示值</t>
  </si>
  <si>
    <t>① ATK = 2581</t>
  </si>
  <si>
    <t>来源</t>
  </si>
  <si>
    <t>数值</t>
  </si>
  <si>
    <t>类型</t>
  </si>
  <si>
    <t>说明</t>
  </si>
  <si>
    <t>条件</t>
  </si>
  <si>
    <t>角色基础攻击</t>
  </si>
  <si>
    <t>固定</t>
  </si>
  <si>
    <t>炽霞90级基础攻击</t>
  </si>
  <si>
    <t>常驻</t>
  </si>
  <si>
    <t>武器基础攻击</t>
  </si>
  <si>
    <t>死与舞90级基础攻击</t>
  </si>
  <si>
    <t>baseAtk 合计</t>
  </si>
  <si>
    <t>声骸攻击%子属性</t>
  </si>
  <si>
    <t>83.0%</t>
  </si>
  <si>
    <t>ATK%</t>
  </si>
  <si>
    <t>Cost4主属性+各副属性合计</t>
  </si>
  <si>
    <t>加麻加辣·固有技能(满层)</t>
  </si>
  <si>
    <t>30.0%</t>
  </si>
  <si>
    <t>inherentBuff</t>
  </si>
  <si>
    <t>需热压弹满层</t>
  </si>
  <si>
    <t>S5 chainEffect</t>
  </si>
  <si>
    <t>加麻加辣满层额外+30%</t>
  </si>
  <si>
    <t>同上加麻加辣满层</t>
  </si>
  <si>
    <t>攻击</t>
  </si>
  <si>
    <t>热熔</t>
  </si>
  <si>
    <t>技能</t>
  </si>
  <si>
    <t>固有增伤</t>
  </si>
  <si>
    <t>固有天赋·攻击</t>
  </si>
  <si>
    <t>12.0%</t>
  </si>
  <si>
    <t>死与舞被动·攻击提升</t>
  </si>
  <si>
    <t>weapon passive param[0]</t>
  </si>
  <si>
    <t>声骸固定攻击</t>
  </si>
  <si>
    <t>固定ATK</t>
  </si>
  <si>
    <t>副属性合计</t>
  </si>
  <si>
    <t>ATK% 合计</t>
  </si>
  <si>
    <t>167.6%</t>
  </si>
  <si>
    <t>ATK 计算</t>
  </si>
  <si>
    <t>800×(1+1.676)+440</t>
  </si>
  <si>
    <t>② 倍率 = 4.3739</t>
  </si>
  <si>
    <t>怪物防御减伤</t>
  </si>
  <si>
    <t>轰轰技能等级10</t>
  </si>
  <si>
    <t>437.39%</t>
  </si>
  <si>
    <t>倍率</t>
  </si>
  <si>
    <t>multipliers[9] = '437.39%'</t>
  </si>
  <si>
    <t>抗性</t>
  </si>
  <si>
    <t>③ 增伤 (1 + dmgBonus) = 3.419</t>
  </si>
  <si>
    <t>dmgBonus = elemDmg + resSkillDmg = 1.120 + 1.299 = 2.419</t>
  </si>
  <si>
    <t>elemDmg 属性伤害 (112.0%)</t>
  </si>
  <si>
    <t>熔山裂谷2件套</t>
  </si>
  <si>
    <t>10.0%</t>
  </si>
  <si>
    <t>elemDmg</t>
  </si>
  <si>
    <t>sonata set2</t>
  </si>
  <si>
    <t>熔山裂谷5件套</t>
  </si>
  <si>
    <t>sonata set5</t>
  </si>
  <si>
    <t>施放共鸣技能后15秒</t>
  </si>
  <si>
    <t>固有天赋·属性伤害</t>
  </si>
  <si>
    <t>声骸属性伤害子属性</t>
  </si>
  <si>
    <t>60.0%</t>
  </si>
  <si>
    <t>echo substats(推算)</t>
  </si>
  <si>
    <t>elemDmg 合计</t>
  </si>
  <si>
    <t>112.0%</t>
  </si>
  <si>
    <t>resSkillDmg 共鸣技能 (129.9%)</t>
  </si>
  <si>
    <t>灼热弹匣·固有技能</t>
  </si>
  <si>
    <t>50.0%</t>
  </si>
  <si>
    <t>resSkillDmg</t>
  </si>
  <si>
    <t>inherentBuff targetSkill=轰轰</t>
  </si>
  <si>
    <t>常驻(针对轰轰)</t>
  </si>
  <si>
    <t>死与舞被动·共鸣技能伤害</t>
  </si>
  <si>
    <t>48.0%</t>
  </si>
  <si>
    <t>weapon passive param[1]</t>
  </si>
  <si>
    <t>变奏/解放后5秒 ⚠</t>
  </si>
  <si>
    <t>声骸共鸣技能伤害子属性</t>
  </si>
  <si>
    <t>31.9%</t>
  </si>
  <si>
    <t>echo substats(用户确认)</t>
  </si>
  <si>
    <t>resSkillDmg 合计</t>
  </si>
  <si>
    <t>129.9%</t>
  </si>
  <si>
    <t>梦魇声骸(未计入)</t>
  </si>
  <si>
    <t>+12%属性 +12%共鸣</t>
  </si>
  <si>
    <t>Echo接口无字段追踪</t>
  </si>
  <si>
    <t>⚠ 代码缺失</t>
  </si>
  <si>
    <t>④ 暴击乘数 = 4.102</t>
  </si>
  <si>
    <t>暴击率</t>
  </si>
  <si>
    <t>71.1%</t>
  </si>
  <si>
    <t>critRate</t>
  </si>
  <si>
    <t>基础5% + 声骸/武器子属性</t>
  </si>
  <si>
    <t>暴击伤害</t>
  </si>
  <si>
    <t>310.2%</t>
  </si>
  <si>
    <t>critDmg</t>
  </si>
  <si>
    <t>基础150% + 死与舞72% + 声骸88.2%</t>
  </si>
  <si>
    <t>S1 guaranteedCrit</t>
  </si>
  <si>
    <t>必暴</t>
  </si>
  <si>
    <t>chainEffect</t>
  </si>
  <si>
    <t>施放轰轰时必定暴击</t>
  </si>
  <si>
    <t>暴击乘数(必暴)</t>
  </si>
  <si>
    <t>4.102</t>
  </si>
  <si>
    <t>暴击乘数(非必暴)</t>
  </si>
  <si>
    <t>3.206</t>
  </si>
  <si>
    <t>参考</t>
  </si>
  <si>
    <t>⑤ 防御倍率 = 0.500</t>
  </si>
  <si>
    <t>角色等级</t>
  </si>
  <si>
    <t>charLevel</t>
  </si>
  <si>
    <t>90级</t>
  </si>
  <si>
    <t>敌人等级</t>
  </si>
  <si>
    <t>enemyLevel</t>
  </si>
  <si>
    <t>普通怪90级</t>
  </si>
  <si>
    <t>防御无视</t>
  </si>
  <si>
    <t>0%</t>
  </si>
  <si>
    <t>defIgnore</t>
  </si>
  <si>
    <t>无</t>
  </si>
  <si>
    <t>防御倍率</t>
  </si>
  <si>
    <t>0.500</t>
  </si>
  <si>
    <t>⑥ 抗性倍率 = 0.900</t>
  </si>
  <si>
    <t>敌人热熔抗性</t>
  </si>
  <si>
    <t>enemyResist</t>
  </si>
  <si>
    <t>普通怪默认</t>
  </si>
  <si>
    <t>减抗</t>
  </si>
  <si>
    <t>resReduce</t>
  </si>
  <si>
    <t>抗性倍率</t>
  </si>
  <si>
    <t>0.900</t>
  </si>
  <si>
    <t>逐步计算</t>
  </si>
  <si>
    <t>步骤</t>
  </si>
  <si>
    <t>计算过程</t>
  </si>
  <si>
    <t>中间值</t>
  </si>
  <si>
    <t>结果</t>
  </si>
  <si>
    <t>基础伤害</t>
  </si>
  <si>
    <t>2581 × 4.3739</t>
  </si>
  <si>
    <t>11,289.0</t>
  </si>
  <si>
    <t>× 增伤</t>
  </si>
  <si>
    <t>11289.0 × 3.419</t>
  </si>
  <si>
    <t>38,597.1</t>
  </si>
  <si>
    <t>× 暴击</t>
  </si>
  <si>
    <t>38597.1 × 4.102</t>
  </si>
  <si>
    <t>158,317.3</t>
  </si>
  <si>
    <t>× 防御</t>
  </si>
  <si>
    <t>158317.3 × 0.500</t>
  </si>
  <si>
    <t>79,158.7</t>
  </si>
  <si>
    <t>× 抗性</t>
  </si>
  <si>
    <t>79158.7 × 0.900</t>
  </si>
  <si>
    <t>71,242.8</t>
  </si>
  <si>
    <t>最终期望伤害</t>
  </si>
  <si>
    <t>代码缺失项 (未计入公式)</t>
  </si>
  <si>
    <t>影响区间</t>
  </si>
  <si>
    <t>梦魇声骸特效</t>
  </si>
  <si>
    <t>+12%属性+12%共鸣</t>
  </si>
  <si>
    <t>elemDmg+resSkillDmg</t>
  </si>
  <si>
    <t>Echo接口无nightmareBonus字段</t>
  </si>
  <si>
    <t>chainStats被动节点</t>
  </si>
  <si>
    <t>+12%elemDmg +9.6%atkPct</t>
  </si>
  <si>
    <t>elemDmg+ATK%</t>
  </si>
  <si>
    <t>damage.ts未处理chainStats</t>
  </si>
  <si>
    <t>ascensionStat突破属性</t>
  </si>
  <si>
    <t>+12%atkPct</t>
  </si>
  <si>
    <t>L222注释跳过</t>
  </si>
  <si>
    <t>条件性buff (代码无条件计入)</t>
  </si>
  <si>
    <t>condition</t>
  </si>
  <si>
    <t>实际触发条件</t>
  </si>
  <si>
    <t>死与舞48%共鸣技能</t>
  </si>
  <si>
    <t>afterIntroOrLiberation</t>
  </si>
  <si>
    <t>施放变奏/解放后5秒内</t>
  </si>
  <si>
    <t>熔山5件30%elemDmg</t>
  </si>
  <si>
    <t>轰轰是共鸣回路非共鸣技能</t>
  </si>
  <si>
    <t>加麻加辣30%ATK</t>
  </si>
  <si>
    <t>热压弹满层</t>
  </si>
  <si>
    <t>需先叠满热压弹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</si>
</sst>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i/>
      <sz val="9"/>
      <color rgb="FF666666"/>
      <name val="Arial"/>
      <charset val="134"/>
    </font>
    <font>
      <b/>
      <sz val="11"/>
      <color rgb="FF2F5496"/>
      <name val="Arial"/>
      <charset val="134"/>
    </font>
    <font>
      <sz val="10"/>
      <name val="Arial"/>
      <charset val="134"/>
    </font>
    <font>
      <b/>
      <sz val="10"/>
      <color rgb="FFC00000"/>
      <name val="Arial"/>
      <charset val="134"/>
    </font>
    <font>
      <b/>
      <sz val="10"/>
      <color rgb="FF000000"/>
      <name val="Arial"/>
      <charset val="134"/>
    </font>
    <font>
      <i/>
      <sz val="10"/>
      <name val="Arial"/>
      <charset val="134"/>
    </font>
    <font>
      <i/>
      <sz val="10"/>
      <color rgb="FFC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9" fontId="0" fillId="0" borderId="0" xfId="0" applyNumberFormat="1"/>
    <xf numFmtId="0" fontId="7" fillId="0" borderId="0" xfId="0" applyFo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tabSelected="1" topLeftCell="A19" workbookViewId="0">
      <selection activeCell="H23" sqref="H23"/>
    </sheetView>
  </sheetViews>
  <sheetFormatPr defaultColWidth="9" defaultRowHeight="14.4"/>
  <cols>
    <col min="1" max="1" width="4" customWidth="1"/>
    <col min="2" max="2" width="32" customWidth="1"/>
    <col min="3" max="3" width="27.1111111111111" customWidth="1"/>
    <col min="4" max="4" width="14" customWidth="1"/>
    <col min="5" max="5" width="28" customWidth="1"/>
    <col min="6" max="6" width="16" customWidth="1"/>
    <col min="8" max="8" width="12.8888888888889"/>
    <col min="10" max="10" width="12.8888888888889"/>
  </cols>
  <sheetData>
    <row r="1" ht="28" customHeight="1" spans="1:11">
      <c r="A1" s="1" t="s">
        <v>0</v>
      </c>
    </row>
    <row r="2" spans="1:11">
      <c r="A2" s="2" t="s">
        <v>1</v>
      </c>
    </row>
    <row r="4" ht="22" customHeight="1" spans="1:11">
      <c r="A4" s="3" t="s">
        <v>2</v>
      </c>
    </row>
    <row r="5" spans="1:11">
      <c r="A5" s="4" t="s">
        <v>3</v>
      </c>
      <c r="B5" s="5" t="s">
        <v>4</v>
      </c>
      <c r="C5" s="5" t="s">
        <v>3</v>
      </c>
      <c r="D5" s="5" t="s">
        <v>3</v>
      </c>
      <c r="E5" s="5" t="s">
        <v>3</v>
      </c>
      <c r="F5" s="5" t="s">
        <v>3</v>
      </c>
    </row>
    <row r="6" spans="1:11">
      <c r="A6" s="6" t="s">
        <v>3</v>
      </c>
      <c r="B6" s="7"/>
      <c r="C6" s="7" t="s">
        <v>3</v>
      </c>
      <c r="D6" s="7" t="s">
        <v>3</v>
      </c>
      <c r="E6" s="7" t="s">
        <v>5</v>
      </c>
      <c r="F6" s="7" t="s">
        <v>6</v>
      </c>
    </row>
    <row r="8" ht="22" customHeight="1" spans="1:11">
      <c r="A8" s="3" t="s">
        <v>7</v>
      </c>
    </row>
    <row r="9" spans="1:11">
      <c r="A9" s="8" t="s">
        <v>3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</row>
    <row r="10" spans="1:11">
      <c r="A10" s="4" t="s">
        <v>3</v>
      </c>
      <c r="B10" s="5" t="s">
        <v>13</v>
      </c>
      <c r="C10" s="5">
        <v>300</v>
      </c>
      <c r="D10" s="5" t="s">
        <v>14</v>
      </c>
      <c r="E10" s="5" t="s">
        <v>15</v>
      </c>
      <c r="F10" s="5" t="s">
        <v>16</v>
      </c>
    </row>
    <row r="11" spans="1:11">
      <c r="A11" s="4" t="s">
        <v>3</v>
      </c>
      <c r="B11" s="5" t="s">
        <v>17</v>
      </c>
      <c r="C11" s="5">
        <v>500</v>
      </c>
      <c r="D11" s="5" t="s">
        <v>14</v>
      </c>
      <c r="E11" s="5" t="s">
        <v>18</v>
      </c>
      <c r="F11" s="5" t="s">
        <v>16</v>
      </c>
    </row>
    <row r="12" spans="1:11">
      <c r="A12" s="4" t="s">
        <v>3</v>
      </c>
      <c r="B12" s="5" t="s">
        <v>19</v>
      </c>
      <c r="C12" s="5">
        <v>800</v>
      </c>
      <c r="D12" s="5" t="s">
        <v>14</v>
      </c>
      <c r="E12" s="5" t="e">
        <f>角色300+武器500</f>
        <v>#NAME?</v>
      </c>
      <c r="F12" s="5" t="s">
        <v>3</v>
      </c>
    </row>
    <row r="13" spans="1:11">
      <c r="A13" s="4" t="s">
        <v>3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16</v>
      </c>
    </row>
    <row r="14" spans="1:11">
      <c r="A14" s="4" t="s">
        <v>3</v>
      </c>
      <c r="B14" s="5" t="s">
        <v>24</v>
      </c>
      <c r="C14" s="5" t="s">
        <v>25</v>
      </c>
      <c r="D14" s="5" t="s">
        <v>22</v>
      </c>
      <c r="E14" s="5" t="s">
        <v>26</v>
      </c>
      <c r="F14" s="5" t="s">
        <v>27</v>
      </c>
    </row>
    <row r="15" spans="1:11">
      <c r="A15" s="4" t="s">
        <v>3</v>
      </c>
      <c r="B15" s="5" t="s">
        <v>28</v>
      </c>
      <c r="C15" s="5" t="s">
        <v>25</v>
      </c>
      <c r="D15" s="5" t="s">
        <v>22</v>
      </c>
      <c r="E15" s="5" t="s">
        <v>29</v>
      </c>
      <c r="F15" s="5" t="s">
        <v>30</v>
      </c>
      <c r="H15" t="s">
        <v>31</v>
      </c>
      <c r="I15" t="s">
        <v>32</v>
      </c>
      <c r="J15" t="s">
        <v>33</v>
      </c>
      <c r="K15" t="s">
        <v>34</v>
      </c>
    </row>
    <row r="16" spans="1:11">
      <c r="A16" s="4" t="s">
        <v>3</v>
      </c>
      <c r="B16" s="5" t="s">
        <v>35</v>
      </c>
      <c r="C16" s="5" t="s">
        <v>36</v>
      </c>
      <c r="D16" s="5" t="s">
        <v>22</v>
      </c>
      <c r="E16" s="5" t="s">
        <v>26</v>
      </c>
      <c r="F16" s="5" t="s">
        <v>16</v>
      </c>
      <c r="H16">
        <v>2580</v>
      </c>
      <c r="I16" s="10">
        <v>1.24</v>
      </c>
      <c r="J16">
        <f>31.9%+12%+48%</f>
        <v>0.919</v>
      </c>
      <c r="K16" s="10">
        <v>0.5</v>
      </c>
    </row>
    <row r="17" spans="1:10">
      <c r="A17" s="4" t="s">
        <v>3</v>
      </c>
      <c r="B17" s="5" t="s">
        <v>37</v>
      </c>
      <c r="C17" s="5" t="s">
        <v>36</v>
      </c>
      <c r="D17" s="5" t="s">
        <v>22</v>
      </c>
      <c r="E17" s="5" t="s">
        <v>38</v>
      </c>
      <c r="F17" s="5" t="s">
        <v>16</v>
      </c>
    </row>
    <row r="18" spans="1:10">
      <c r="A18" s="4" t="s">
        <v>3</v>
      </c>
      <c r="B18" s="5" t="s">
        <v>39</v>
      </c>
      <c r="C18" s="5">
        <v>440</v>
      </c>
      <c r="D18" s="5" t="s">
        <v>40</v>
      </c>
      <c r="E18" s="5" t="s">
        <v>41</v>
      </c>
      <c r="F18" s="5" t="s">
        <v>16</v>
      </c>
    </row>
    <row r="19" spans="1:10">
      <c r="A19" s="4" t="s">
        <v>3</v>
      </c>
      <c r="B19" s="5" t="s">
        <v>42</v>
      </c>
      <c r="C19" s="5" t="s">
        <v>43</v>
      </c>
      <c r="D19" s="5" t="s">
        <v>3</v>
      </c>
      <c r="E19" s="5"/>
      <c r="F19" s="5" t="s">
        <v>3</v>
      </c>
    </row>
    <row r="20" spans="1:10">
      <c r="A20" s="6" t="s">
        <v>3</v>
      </c>
      <c r="B20" s="7" t="s">
        <v>44</v>
      </c>
      <c r="C20" s="7" t="s">
        <v>45</v>
      </c>
      <c r="D20" s="7" t="s">
        <v>3</v>
      </c>
      <c r="E20" s="7">
        <f>2141+440</f>
        <v>2581</v>
      </c>
      <c r="F20" s="7">
        <f>2580</f>
        <v>2580</v>
      </c>
      <c r="H20">
        <f>F20*C24*(1+C34+C40+24%)*1*(310.2%+25%)*1</f>
        <v>138406.018320816</v>
      </c>
    </row>
    <row r="22" ht="22" customHeight="1" spans="1:10">
      <c r="A22" s="3" t="s">
        <v>46</v>
      </c>
      <c r="H22" t="s">
        <v>47</v>
      </c>
    </row>
    <row r="23" spans="1:10">
      <c r="A23" s="8" t="s">
        <v>3</v>
      </c>
      <c r="B23" s="9" t="s">
        <v>8</v>
      </c>
      <c r="C23" s="9" t="s">
        <v>9</v>
      </c>
      <c r="D23" s="9" t="s">
        <v>10</v>
      </c>
      <c r="E23" s="9" t="s">
        <v>11</v>
      </c>
      <c r="F23" s="9" t="s">
        <v>3</v>
      </c>
      <c r="H23">
        <f>(100+90)/((99+100)+(100+90))</f>
        <v>0.488431876606684</v>
      </c>
    </row>
    <row r="24" spans="1:10">
      <c r="A24" s="4" t="s">
        <v>3</v>
      </c>
      <c r="B24" s="5" t="s">
        <v>48</v>
      </c>
      <c r="C24" s="5" t="s">
        <v>49</v>
      </c>
      <c r="D24" s="5" t="s">
        <v>50</v>
      </c>
      <c r="E24" s="5" t="s">
        <v>51</v>
      </c>
      <c r="F24" s="5" t="s">
        <v>3</v>
      </c>
      <c r="H24" t="s">
        <v>52</v>
      </c>
    </row>
    <row r="25" spans="1:10">
      <c r="H25">
        <f>1-30%</f>
        <v>0.7</v>
      </c>
    </row>
    <row r="26" ht="22" customHeight="1" spans="1:10">
      <c r="A26" s="3" t="s">
        <v>53</v>
      </c>
    </row>
    <row r="27" spans="1:10">
      <c r="B27" s="11" t="s">
        <v>54</v>
      </c>
      <c r="H27">
        <f>H20*H23*H25</f>
        <v>47321.3378834667</v>
      </c>
      <c r="J27">
        <f>H16*C24*(1+I16+J16+K16)*1*(C46+25%)*H23*H25</f>
        <v>47321.3378834666</v>
      </c>
    </row>
    <row r="29" spans="1:10">
      <c r="A29" s="8" t="s">
        <v>3</v>
      </c>
      <c r="B29" s="9" t="s">
        <v>55</v>
      </c>
      <c r="C29" s="9" t="s">
        <v>9</v>
      </c>
      <c r="D29" s="9" t="s">
        <v>10</v>
      </c>
      <c r="E29" s="9" t="s">
        <v>11</v>
      </c>
      <c r="F29" s="9" t="s">
        <v>12</v>
      </c>
    </row>
    <row r="30" spans="1:10">
      <c r="A30" s="4" t="s">
        <v>3</v>
      </c>
      <c r="B30" s="5" t="s">
        <v>56</v>
      </c>
      <c r="C30" s="5" t="s">
        <v>57</v>
      </c>
      <c r="D30" s="5" t="s">
        <v>58</v>
      </c>
      <c r="E30" s="5" t="s">
        <v>59</v>
      </c>
      <c r="F30" s="5" t="s">
        <v>16</v>
      </c>
    </row>
    <row r="31" spans="1:10">
      <c r="A31" s="4" t="s">
        <v>3</v>
      </c>
      <c r="B31" s="5" t="s">
        <v>60</v>
      </c>
      <c r="C31" s="5" t="s">
        <v>25</v>
      </c>
      <c r="D31" s="5" t="s">
        <v>58</v>
      </c>
      <c r="E31" s="5" t="s">
        <v>61</v>
      </c>
      <c r="F31" s="5" t="s">
        <v>62</v>
      </c>
    </row>
    <row r="32" spans="1:10">
      <c r="A32" s="4" t="s">
        <v>3</v>
      </c>
      <c r="B32" s="5" t="s">
        <v>63</v>
      </c>
      <c r="C32" s="5" t="s">
        <v>36</v>
      </c>
      <c r="D32" s="5" t="s">
        <v>58</v>
      </c>
      <c r="E32" s="5" t="s">
        <v>26</v>
      </c>
      <c r="F32" s="5" t="s">
        <v>16</v>
      </c>
    </row>
    <row r="33" spans="1:6">
      <c r="A33" s="4" t="s">
        <v>3</v>
      </c>
      <c r="B33" s="5" t="s">
        <v>64</v>
      </c>
      <c r="C33" s="5" t="s">
        <v>65</v>
      </c>
      <c r="D33" s="5" t="s">
        <v>58</v>
      </c>
      <c r="E33" s="5" t="s">
        <v>66</v>
      </c>
      <c r="F33" s="5" t="s">
        <v>16</v>
      </c>
    </row>
    <row r="34" spans="1:6">
      <c r="A34" s="6" t="s">
        <v>3</v>
      </c>
      <c r="B34" s="7" t="s">
        <v>67</v>
      </c>
      <c r="C34" s="7" t="s">
        <v>68</v>
      </c>
      <c r="D34" s="7" t="s">
        <v>3</v>
      </c>
      <c r="E34" s="7">
        <f>10+30+12+60</f>
        <v>112</v>
      </c>
      <c r="F34" s="7" t="s">
        <v>3</v>
      </c>
    </row>
    <row r="35" spans="1:6">
      <c r="A35" s="4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</row>
    <row r="36" spans="1:6">
      <c r="A36" s="8" t="s">
        <v>3</v>
      </c>
      <c r="B36" s="9" t="s">
        <v>69</v>
      </c>
      <c r="C36" s="9" t="s">
        <v>9</v>
      </c>
      <c r="D36" s="9" t="s">
        <v>10</v>
      </c>
      <c r="E36" s="9" t="s">
        <v>11</v>
      </c>
      <c r="F36" s="9" t="s">
        <v>12</v>
      </c>
    </row>
    <row r="37" spans="1:6">
      <c r="A37" s="4" t="s">
        <v>3</v>
      </c>
      <c r="B37" s="5" t="s">
        <v>70</v>
      </c>
      <c r="C37" s="5" t="s">
        <v>71</v>
      </c>
      <c r="D37" s="5" t="s">
        <v>72</v>
      </c>
      <c r="E37" s="5" t="s">
        <v>73</v>
      </c>
      <c r="F37" s="5" t="s">
        <v>74</v>
      </c>
    </row>
    <row r="38" spans="1:6">
      <c r="A38" s="12" t="s">
        <v>3</v>
      </c>
      <c r="B38" s="13" t="s">
        <v>75</v>
      </c>
      <c r="C38" s="13" t="s">
        <v>76</v>
      </c>
      <c r="D38" s="13" t="s">
        <v>72</v>
      </c>
      <c r="E38" s="13" t="s">
        <v>77</v>
      </c>
      <c r="F38" s="13" t="s">
        <v>78</v>
      </c>
    </row>
    <row r="39" spans="1:6">
      <c r="A39" s="4" t="s">
        <v>3</v>
      </c>
      <c r="B39" s="5" t="s">
        <v>79</v>
      </c>
      <c r="C39" s="5" t="s">
        <v>80</v>
      </c>
      <c r="D39" s="5" t="s">
        <v>72</v>
      </c>
      <c r="E39" s="5" t="s">
        <v>81</v>
      </c>
      <c r="F39" s="5" t="s">
        <v>16</v>
      </c>
    </row>
    <row r="40" spans="1:6">
      <c r="A40" s="6" t="s">
        <v>3</v>
      </c>
      <c r="B40" s="7" t="s">
        <v>82</v>
      </c>
      <c r="C40" s="7" t="s">
        <v>83</v>
      </c>
      <c r="D40" s="7" t="s">
        <v>3</v>
      </c>
      <c r="E40" s="7">
        <f>50+48+31.9</f>
        <v>129.9</v>
      </c>
      <c r="F40" s="7" t="s">
        <v>3</v>
      </c>
    </row>
    <row r="41" spans="1:6">
      <c r="A41" s="12" t="s">
        <v>3</v>
      </c>
      <c r="B41" s="13" t="s">
        <v>84</v>
      </c>
      <c r="C41" s="13" t="s">
        <v>85</v>
      </c>
      <c r="D41" s="13" t="s">
        <v>3</v>
      </c>
      <c r="E41" s="13" t="s">
        <v>86</v>
      </c>
      <c r="F41" s="13" t="s">
        <v>87</v>
      </c>
    </row>
    <row r="43" ht="22" customHeight="1" spans="1:6">
      <c r="A43" s="3" t="s">
        <v>88</v>
      </c>
    </row>
    <row r="44" spans="1:6">
      <c r="A44" s="8" t="s">
        <v>3</v>
      </c>
      <c r="B44" s="9" t="s">
        <v>8</v>
      </c>
      <c r="C44" s="9" t="s">
        <v>9</v>
      </c>
      <c r="D44" s="9" t="s">
        <v>10</v>
      </c>
      <c r="E44" s="9" t="s">
        <v>11</v>
      </c>
      <c r="F44" s="9" t="s">
        <v>3</v>
      </c>
    </row>
    <row r="45" spans="1:6">
      <c r="A45" s="4" t="s">
        <v>3</v>
      </c>
      <c r="B45" s="5" t="s">
        <v>89</v>
      </c>
      <c r="C45" s="5" t="s">
        <v>90</v>
      </c>
      <c r="D45" s="5" t="s">
        <v>91</v>
      </c>
      <c r="E45" s="5" t="s">
        <v>92</v>
      </c>
      <c r="F45" s="5" t="s">
        <v>3</v>
      </c>
    </row>
    <row r="46" spans="1:6">
      <c r="A46" s="4" t="s">
        <v>3</v>
      </c>
      <c r="B46" s="5" t="s">
        <v>93</v>
      </c>
      <c r="C46" s="5" t="s">
        <v>94</v>
      </c>
      <c r="D46" s="5" t="s">
        <v>95</v>
      </c>
      <c r="E46" s="5" t="s">
        <v>96</v>
      </c>
      <c r="F46" s="5" t="s">
        <v>3</v>
      </c>
    </row>
    <row r="47" spans="1:6">
      <c r="A47" s="4" t="s">
        <v>3</v>
      </c>
      <c r="B47" s="5" t="s">
        <v>97</v>
      </c>
      <c r="C47" s="5" t="s">
        <v>98</v>
      </c>
      <c r="D47" s="5" t="s">
        <v>99</v>
      </c>
      <c r="E47" s="5" t="s">
        <v>100</v>
      </c>
      <c r="F47" s="5" t="s">
        <v>3</v>
      </c>
    </row>
    <row r="48" spans="1:6">
      <c r="A48" s="6" t="s">
        <v>3</v>
      </c>
      <c r="B48" s="7" t="s">
        <v>101</v>
      </c>
      <c r="C48" s="7" t="s">
        <v>102</v>
      </c>
      <c r="D48" s="7" t="s">
        <v>3</v>
      </c>
      <c r="E48" s="7" t="e">
        <f>1+critDmg=1+3.102</f>
        <v>#NAME?</v>
      </c>
      <c r="F48" s="7" t="s">
        <v>3</v>
      </c>
    </row>
    <row r="49" spans="1:6">
      <c r="A49" s="4" t="s">
        <v>3</v>
      </c>
      <c r="B49" s="5" t="s">
        <v>103</v>
      </c>
      <c r="C49" s="5" t="s">
        <v>104</v>
      </c>
      <c r="D49" s="5" t="s">
        <v>105</v>
      </c>
      <c r="E49" s="5" t="e">
        <f>1+critRate×critDmg</f>
        <v>#NAME?</v>
      </c>
      <c r="F49" s="5" t="s">
        <v>3</v>
      </c>
    </row>
    <row r="51" ht="22" customHeight="1" spans="1:6">
      <c r="A51" s="3" t="s">
        <v>106</v>
      </c>
    </row>
    <row r="52" spans="1:6">
      <c r="A52" s="8" t="s">
        <v>3</v>
      </c>
      <c r="B52" s="9" t="s">
        <v>8</v>
      </c>
      <c r="C52" s="9" t="s">
        <v>9</v>
      </c>
      <c r="D52" s="9" t="s">
        <v>10</v>
      </c>
      <c r="E52" s="9" t="s">
        <v>11</v>
      </c>
      <c r="F52" s="9" t="s">
        <v>3</v>
      </c>
    </row>
    <row r="53" spans="1:6">
      <c r="A53" s="4" t="s">
        <v>3</v>
      </c>
      <c r="B53" s="5" t="s">
        <v>107</v>
      </c>
      <c r="C53" s="5">
        <v>90</v>
      </c>
      <c r="D53" s="5" t="s">
        <v>108</v>
      </c>
      <c r="E53" s="5" t="s">
        <v>109</v>
      </c>
      <c r="F53" s="5" t="s">
        <v>3</v>
      </c>
    </row>
    <row r="54" spans="1:6">
      <c r="A54" s="4" t="s">
        <v>3</v>
      </c>
      <c r="B54" s="5" t="s">
        <v>110</v>
      </c>
      <c r="C54" s="5">
        <v>90</v>
      </c>
      <c r="D54" s="5" t="s">
        <v>111</v>
      </c>
      <c r="E54" s="5" t="s">
        <v>112</v>
      </c>
      <c r="F54" s="5" t="s">
        <v>3</v>
      </c>
    </row>
    <row r="55" spans="1:6">
      <c r="A55" s="4" t="s">
        <v>3</v>
      </c>
      <c r="B55" s="5" t="s">
        <v>113</v>
      </c>
      <c r="C55" s="5" t="s">
        <v>114</v>
      </c>
      <c r="D55" s="5" t="s">
        <v>115</v>
      </c>
      <c r="E55" s="5" t="s">
        <v>116</v>
      </c>
      <c r="F55" s="5" t="s">
        <v>3</v>
      </c>
    </row>
    <row r="56" spans="1:6">
      <c r="A56" s="6" t="s">
        <v>3</v>
      </c>
      <c r="B56" s="7" t="s">
        <v>117</v>
      </c>
      <c r="C56" s="7" t="s">
        <v>118</v>
      </c>
      <c r="D56" s="7" t="s">
        <v>3</v>
      </c>
      <c r="E56" s="7" t="b">
        <f>190/(190+190)=0.5</f>
        <v>1</v>
      </c>
      <c r="F56" s="7" t="s">
        <v>3</v>
      </c>
    </row>
    <row r="58" ht="22" customHeight="1" spans="1:6">
      <c r="A58" s="3" t="s">
        <v>119</v>
      </c>
    </row>
    <row r="59" spans="1:6">
      <c r="A59" s="8" t="s">
        <v>3</v>
      </c>
      <c r="B59" s="9" t="s">
        <v>8</v>
      </c>
      <c r="C59" s="9" t="s">
        <v>9</v>
      </c>
      <c r="D59" s="9" t="s">
        <v>10</v>
      </c>
      <c r="E59" s="9" t="s">
        <v>11</v>
      </c>
      <c r="F59" s="9" t="s">
        <v>3</v>
      </c>
    </row>
    <row r="60" spans="1:6">
      <c r="A60" s="4" t="s">
        <v>3</v>
      </c>
      <c r="B60" s="5" t="s">
        <v>120</v>
      </c>
      <c r="C60" s="5" t="s">
        <v>57</v>
      </c>
      <c r="D60" s="5" t="s">
        <v>121</v>
      </c>
      <c r="E60" s="5" t="s">
        <v>122</v>
      </c>
      <c r="F60" s="5" t="s">
        <v>3</v>
      </c>
    </row>
    <row r="61" spans="1:6">
      <c r="A61" s="4" t="s">
        <v>3</v>
      </c>
      <c r="B61" s="5" t="s">
        <v>123</v>
      </c>
      <c r="C61" s="5" t="s">
        <v>114</v>
      </c>
      <c r="D61" s="5" t="s">
        <v>124</v>
      </c>
      <c r="E61" s="5" t="s">
        <v>116</v>
      </c>
      <c r="F61" s="5" t="s">
        <v>3</v>
      </c>
    </row>
    <row r="62" spans="1:6">
      <c r="A62" s="6" t="s">
        <v>3</v>
      </c>
      <c r="B62" s="7" t="s">
        <v>125</v>
      </c>
      <c r="C62" s="7" t="s">
        <v>126</v>
      </c>
      <c r="D62" s="7" t="s">
        <v>3</v>
      </c>
      <c r="E62" s="7" t="b">
        <f>1-0.1=0.9</f>
        <v>1</v>
      </c>
      <c r="F62" s="7" t="s">
        <v>3</v>
      </c>
    </row>
    <row r="64" ht="22" customHeight="1" spans="1:6">
      <c r="A64" s="3" t="s">
        <v>127</v>
      </c>
    </row>
    <row r="65" spans="1:6">
      <c r="A65" s="8" t="s">
        <v>3</v>
      </c>
      <c r="B65" s="9" t="s">
        <v>128</v>
      </c>
      <c r="C65" s="9" t="s">
        <v>129</v>
      </c>
      <c r="D65" s="9" t="s">
        <v>130</v>
      </c>
      <c r="E65" s="9" t="s">
        <v>131</v>
      </c>
      <c r="F65" s="9" t="s">
        <v>3</v>
      </c>
    </row>
    <row r="66" spans="1:6">
      <c r="A66" s="4" t="s">
        <v>3</v>
      </c>
      <c r="B66" s="5" t="s">
        <v>132</v>
      </c>
      <c r="C66" s="5" t="s">
        <v>133</v>
      </c>
      <c r="D66" s="5" t="e">
        <f>ATK × 倍率</f>
        <v>#NAME?</v>
      </c>
      <c r="E66" s="5" t="s">
        <v>134</v>
      </c>
      <c r="F66" s="5" t="s">
        <v>3</v>
      </c>
    </row>
    <row r="67" spans="1:6">
      <c r="A67" s="4" t="s">
        <v>3</v>
      </c>
      <c r="B67" s="5" t="s">
        <v>135</v>
      </c>
      <c r="C67" s="5" t="s">
        <v>136</v>
      </c>
      <c r="D67" s="5"/>
      <c r="E67" s="5" t="s">
        <v>137</v>
      </c>
      <c r="F67" s="5" t="s">
        <v>3</v>
      </c>
    </row>
    <row r="68" spans="1:6">
      <c r="A68" s="4" t="s">
        <v>3</v>
      </c>
      <c r="B68" s="5" t="s">
        <v>138</v>
      </c>
      <c r="C68" s="5" t="s">
        <v>139</v>
      </c>
      <c r="D68" s="5"/>
      <c r="E68" s="5" t="s">
        <v>140</v>
      </c>
      <c r="F68" s="5" t="s">
        <v>3</v>
      </c>
    </row>
    <row r="69" spans="1:6">
      <c r="A69" s="4" t="s">
        <v>3</v>
      </c>
      <c r="B69" s="5" t="s">
        <v>141</v>
      </c>
      <c r="C69" s="5" t="s">
        <v>142</v>
      </c>
      <c r="D69" s="5" t="s">
        <v>3</v>
      </c>
      <c r="E69" s="5" t="s">
        <v>143</v>
      </c>
      <c r="F69" s="5" t="s">
        <v>3</v>
      </c>
    </row>
    <row r="70" spans="1:6">
      <c r="A70" s="4" t="s">
        <v>3</v>
      </c>
      <c r="B70" s="5" t="s">
        <v>144</v>
      </c>
      <c r="C70" s="5" t="s">
        <v>145</v>
      </c>
      <c r="D70" s="5" t="s">
        <v>3</v>
      </c>
      <c r="E70" s="5" t="s">
        <v>146</v>
      </c>
      <c r="F70" s="5" t="s">
        <v>3</v>
      </c>
    </row>
    <row r="71" spans="1:6">
      <c r="A71" s="6" t="s">
        <v>3</v>
      </c>
      <c r="B71" s="7" t="s">
        <v>147</v>
      </c>
      <c r="C71" s="7" t="s">
        <v>3</v>
      </c>
      <c r="D71" s="7" t="s">
        <v>3</v>
      </c>
      <c r="E71" s="7" t="s">
        <v>5</v>
      </c>
      <c r="F71" s="7" t="s">
        <v>6</v>
      </c>
    </row>
    <row r="73" ht="22" customHeight="1" spans="1:6">
      <c r="A73" s="3" t="s">
        <v>148</v>
      </c>
    </row>
    <row r="74" spans="1:6">
      <c r="A74" s="8" t="s">
        <v>3</v>
      </c>
      <c r="B74" s="9" t="s">
        <v>8</v>
      </c>
      <c r="C74" s="9" t="s">
        <v>9</v>
      </c>
      <c r="D74" s="9" t="s">
        <v>149</v>
      </c>
      <c r="E74" s="9" t="s">
        <v>11</v>
      </c>
      <c r="F74" s="9" t="s">
        <v>3</v>
      </c>
    </row>
    <row r="75" spans="1:6">
      <c r="A75" s="12" t="s">
        <v>3</v>
      </c>
      <c r="B75" s="13" t="s">
        <v>150</v>
      </c>
      <c r="C75" s="13" t="s">
        <v>151</v>
      </c>
      <c r="D75" s="13" t="s">
        <v>152</v>
      </c>
      <c r="E75" s="13" t="s">
        <v>153</v>
      </c>
      <c r="F75" s="13" t="s">
        <v>3</v>
      </c>
    </row>
    <row r="76" spans="1:6">
      <c r="A76" s="12" t="s">
        <v>3</v>
      </c>
      <c r="B76" s="13" t="s">
        <v>154</v>
      </c>
      <c r="C76" s="13" t="s">
        <v>155</v>
      </c>
      <c r="D76" s="13" t="s">
        <v>156</v>
      </c>
      <c r="E76" s="13" t="s">
        <v>157</v>
      </c>
      <c r="F76" s="13" t="s">
        <v>3</v>
      </c>
    </row>
    <row r="77" spans="1:6">
      <c r="A77" s="12" t="s">
        <v>3</v>
      </c>
      <c r="B77" s="13" t="s">
        <v>158</v>
      </c>
      <c r="C77" s="13" t="s">
        <v>159</v>
      </c>
      <c r="D77" s="13" t="s">
        <v>22</v>
      </c>
      <c r="E77" s="13" t="s">
        <v>160</v>
      </c>
      <c r="F77" s="13" t="s">
        <v>3</v>
      </c>
    </row>
    <row r="79" ht="22" customHeight="1" spans="1:6">
      <c r="A79" s="3" t="s">
        <v>161</v>
      </c>
    </row>
    <row r="80" spans="1:6">
      <c r="A80" s="8" t="s">
        <v>3</v>
      </c>
      <c r="B80" s="9" t="s">
        <v>8</v>
      </c>
      <c r="C80" s="9" t="s">
        <v>9</v>
      </c>
      <c r="D80" s="9" t="s">
        <v>162</v>
      </c>
      <c r="E80" s="9" t="s">
        <v>163</v>
      </c>
      <c r="F80" s="9" t="s">
        <v>3</v>
      </c>
    </row>
    <row r="81" spans="1:6">
      <c r="A81" s="12" t="s">
        <v>3</v>
      </c>
      <c r="B81" s="13" t="s">
        <v>164</v>
      </c>
      <c r="C81" s="13" t="s">
        <v>76</v>
      </c>
      <c r="D81" s="13" t="s">
        <v>165</v>
      </c>
      <c r="E81" s="13" t="s">
        <v>166</v>
      </c>
      <c r="F81" s="13" t="s">
        <v>3</v>
      </c>
    </row>
    <row r="82" spans="1:6">
      <c r="A82" s="12" t="s">
        <v>3</v>
      </c>
      <c r="B82" s="13" t="s">
        <v>167</v>
      </c>
      <c r="C82" s="13" t="s">
        <v>25</v>
      </c>
      <c r="D82" s="13" t="s">
        <v>62</v>
      </c>
      <c r="E82" s="13" t="s">
        <v>168</v>
      </c>
      <c r="F82" s="13" t="s">
        <v>3</v>
      </c>
    </row>
    <row r="83" spans="1:6">
      <c r="A83" s="12" t="s">
        <v>3</v>
      </c>
      <c r="B83" s="13" t="s">
        <v>169</v>
      </c>
      <c r="C83" s="13" t="s">
        <v>25</v>
      </c>
      <c r="D83" s="13" t="s">
        <v>170</v>
      </c>
      <c r="E83" s="13" t="s">
        <v>171</v>
      </c>
      <c r="F83" s="13" t="s">
        <v>3</v>
      </c>
    </row>
  </sheetData>
  <mergeCells count="11">
    <mergeCell ref="A1:F1"/>
    <mergeCell ref="A4:F4"/>
    <mergeCell ref="A8:F8"/>
    <mergeCell ref="A22:F22"/>
    <mergeCell ref="A26:F26"/>
    <mergeCell ref="A43:F43"/>
    <mergeCell ref="A51:F51"/>
    <mergeCell ref="A58:F58"/>
    <mergeCell ref="A64:F64"/>
    <mergeCell ref="A73:F73"/>
    <mergeCell ref="A79:F7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轰轰伤害公式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[用户在黑名单]无趣的世界</cp:lastModifiedBy>
  <dcterms:created xsi:type="dcterms:W3CDTF">2026-06-22T08:05:00Z</dcterms:created>
  <dcterms:modified xsi:type="dcterms:W3CDTF">2026-06-22T09:27:06Z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97719CBE30944291B082A07D8CBF5544_12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