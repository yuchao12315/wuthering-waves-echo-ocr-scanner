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95" windowHeight="11070" activeTab="2"/>
  </bookViews>
  <sheets>
    <sheet name="基础计算表" sheetId="1" r:id="rId1"/>
    <sheet name="武器数据库" sheetId="3" r:id="rId2"/>
    <sheet name="今汐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<sst xmlns="http://schemas.openxmlformats.org/spreadsheetml/2006/main" count="159" uniqueCount="80">
  <si>
    <t>角色等级</t>
  </si>
  <si>
    <t>怪物等级</t>
  </si>
  <si>
    <t>伤害1</t>
  </si>
  <si>
    <t>伤害2</t>
  </si>
  <si>
    <t>对比</t>
  </si>
  <si>
    <t>属性区</t>
  </si>
  <si>
    <t>倍率区</t>
  </si>
  <si>
    <t>未暴击伤害</t>
  </si>
  <si>
    <t>暴击伤害</t>
  </si>
  <si>
    <t>增伤区</t>
  </si>
  <si>
    <t>伤害加深区</t>
  </si>
  <si>
    <t>期望伤害</t>
  </si>
  <si>
    <t>暴击率</t>
  </si>
  <si>
    <t>防御区</t>
  </si>
  <si>
    <t>抗性区</t>
  </si>
  <si>
    <t>武器类型</t>
  </si>
  <si>
    <t>稀有度</t>
  </si>
  <si>
    <t>武器名称</t>
  </si>
  <si>
    <t>白值</t>
  </si>
  <si>
    <t>攻击力</t>
  </si>
  <si>
    <t>长刃</t>
  </si>
  <si>
    <t>时和岁稔</t>
  </si>
  <si>
    <t>属性增伤</t>
  </si>
  <si>
    <t>共鸣</t>
  </si>
  <si>
    <t>苍鳞千嶂</t>
  </si>
  <si>
    <t>重击增伤</t>
  </si>
  <si>
    <t>浩境粼光</t>
  </si>
  <si>
    <t>臂铠</t>
  </si>
  <si>
    <t>擎渊怒涛</t>
  </si>
  <si>
    <t>迅刀</t>
  </si>
  <si>
    <t>千古洑流</t>
  </si>
  <si>
    <t>赫奕流明</t>
  </si>
  <si>
    <t>音感仪</t>
  </si>
  <si>
    <t>掣傀之手</t>
  </si>
  <si>
    <t>Q增伤</t>
  </si>
  <si>
    <t>命座</t>
  </si>
  <si>
    <t>精炼等级</t>
  </si>
  <si>
    <t>技能名称</t>
  </si>
  <si>
    <t>技能倍率</t>
  </si>
  <si>
    <t>标签</t>
  </si>
  <si>
    <t>蟠龙清辉</t>
  </si>
  <si>
    <t>声骸面板</t>
  </si>
  <si>
    <t>声骸·角</t>
  </si>
  <si>
    <t>神霓飞芒1</t>
  </si>
  <si>
    <t>移岁诛邪</t>
  </si>
  <si>
    <t>衍射伤害</t>
  </si>
  <si>
    <t>共鸣技能</t>
  </si>
  <si>
    <t>共鸣解放</t>
  </si>
  <si>
    <t>凌霄普攻1</t>
  </si>
  <si>
    <t>凌霄普攻2</t>
  </si>
  <si>
    <t>BUFF</t>
  </si>
  <si>
    <t>凌霄普攻3</t>
  </si>
  <si>
    <t>流光夕影</t>
  </si>
  <si>
    <t>神霓飞芒2</t>
  </si>
  <si>
    <t>通用增伤</t>
  </si>
  <si>
    <t>E增伤</t>
  </si>
  <si>
    <t>角色面板</t>
  </si>
  <si>
    <t>熠日</t>
  </si>
  <si>
    <t>柄星</t>
  </si>
  <si>
    <t>Cost</t>
  </si>
  <si>
    <t>Cost 4</t>
  </si>
  <si>
    <t>Cost 3</t>
  </si>
  <si>
    <t>Cost 1</t>
  </si>
  <si>
    <t>主词条</t>
  </si>
  <si>
    <t>双爆</t>
  </si>
  <si>
    <t>角色词条数</t>
  </si>
  <si>
    <t>总词条</t>
  </si>
  <si>
    <t>攻击白值</t>
  </si>
  <si>
    <t>倍率</t>
  </si>
  <si>
    <t>技能类别</t>
  </si>
  <si>
    <t>E</t>
  </si>
  <si>
    <t>固定攻击力</t>
  </si>
  <si>
    <t>凌霄普攻4</t>
  </si>
  <si>
    <t>部位1</t>
  </si>
  <si>
    <t>部位2</t>
  </si>
  <si>
    <t>部位3</t>
  </si>
  <si>
    <t>部位4</t>
  </si>
  <si>
    <t>Q</t>
  </si>
  <si>
    <t>部位5</t>
  </si>
  <si>
    <t>变奏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</si>
</sst>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</numFmts>
  <fonts count="33">
    <font>
      <sz val="11"/>
      <color theme="1"/>
      <name val="宋体"/>
      <charset val="134"/>
      <scheme val="minor"/>
    </font>
    <font>
      <sz val="11"/>
      <color theme="1"/>
      <name val="Microsoft YaHei UI"/>
      <charset val="134"/>
    </font>
    <font>
      <b/>
      <sz val="12"/>
      <color theme="1"/>
      <name val="Microsoft YaHei UI"/>
      <charset val="134"/>
    </font>
    <font>
      <b/>
      <sz val="12"/>
      <color rgb="FFFF0000"/>
      <name val="Microsoft YaHei UI"/>
      <charset val="134"/>
    </font>
    <font>
      <b/>
      <sz val="10"/>
      <color theme="1"/>
      <name val="Microsoft YaHei UI"/>
      <charset val="134"/>
    </font>
    <font>
      <sz val="10"/>
      <color theme="1"/>
      <name val="Microsoft YaHei UI"/>
      <charset val="134"/>
    </font>
    <font>
      <b/>
      <sz val="14"/>
      <color theme="1"/>
      <name val="Microsoft YaHei UI"/>
      <charset val="134"/>
    </font>
    <font>
      <b/>
      <sz val="11"/>
      <color theme="1"/>
      <name val="Microsoft YaHei UI"/>
      <charset val="134"/>
    </font>
    <font>
      <b/>
      <sz val="14"/>
      <name val="Microsoft YaHei UI"/>
      <charset val="134"/>
    </font>
    <font>
      <sz val="16"/>
      <color rgb="FFFF0000"/>
      <name val="Microsoft YaHei UI"/>
      <charset val="134"/>
    </font>
    <font>
      <b/>
      <sz val="12"/>
      <color rgb="FF002060"/>
      <name val="Microsoft YaHei UI"/>
      <charset val="134"/>
    </font>
    <font>
      <b/>
      <sz val="16"/>
      <color rgb="FF002060"/>
      <name val="Microsoft YaHei UI"/>
      <charset val="134"/>
    </font>
    <font>
      <b/>
      <sz val="14"/>
      <color rgb="FFFF0000"/>
      <name val="Microsoft YaHei UI"/>
      <charset val="134"/>
    </font>
    <font>
      <sz val="12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7" fontId="1" fillId="6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center" vertical="center"/>
    </xf>
    <xf numFmtId="178" fontId="9" fillId="8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0" fontId="11" fillId="4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 vertical="center"/>
    </xf>
    <xf numFmtId="177" fontId="1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5" sqref="E5"/>
    </sheetView>
  </sheetViews>
  <sheetFormatPr defaultColWidth="9.44166666666667" defaultRowHeight="30" customHeight="1" outlineLevelCol="6"/>
  <cols>
    <col min="1" max="2" width="16.775" style="48" customWidth="1"/>
    <col min="3" max="3" width="12.8916666666667" style="48" customWidth="1"/>
    <col min="4" max="7" width="15.3333333333333" style="48" customWidth="1"/>
    <col min="8" max="10" width="12.8916666666667" style="48" customWidth="1"/>
    <col min="11" max="16384" width="9.44166666666667" style="48" customWidth="1"/>
  </cols>
  <sheetData>
    <row r="1" customHeight="1" spans="1:2">
      <c r="A1" s="2" t="s">
        <v>0</v>
      </c>
      <c r="B1" s="2" t="s">
        <v>1</v>
      </c>
    </row>
    <row r="2" customHeight="1" spans="1:7">
      <c r="A2" s="49">
        <v>90</v>
      </c>
      <c r="B2" s="49">
        <v>90</v>
      </c>
      <c r="D2" s="50"/>
      <c r="E2" s="51" t="s">
        <v>2</v>
      </c>
      <c r="F2" s="51" t="s">
        <v>3</v>
      </c>
      <c r="G2" s="51" t="s">
        <v>4</v>
      </c>
    </row>
    <row r="3" customHeight="1" spans="1:7">
      <c r="A3" s="2" t="s">
        <v>5</v>
      </c>
      <c r="B3" s="2" t="s">
        <v>6</v>
      </c>
      <c r="D3" s="37" t="s">
        <v>7</v>
      </c>
      <c r="E3" s="50">
        <f>A4*B4*(1+A6)*(1+B6)*A10*B10</f>
        <v>0</v>
      </c>
      <c r="F3" s="50">
        <v>0</v>
      </c>
      <c r="G3" s="52">
        <f>IF(F3=0,0,(E3-F3)/F3)</f>
        <v>0</v>
      </c>
    </row>
    <row r="4" customHeight="1" spans="1:7">
      <c r="A4" s="49">
        <v>0</v>
      </c>
      <c r="B4" s="53">
        <v>0</v>
      </c>
      <c r="D4" s="37" t="s">
        <v>8</v>
      </c>
      <c r="E4" s="50">
        <f>A4*B4*(1+A6)*(1+B6)*A10*B10*(1+B8)</f>
        <v>0</v>
      </c>
      <c r="F4" s="50">
        <v>0</v>
      </c>
      <c r="G4" s="52">
        <f>IF(F4=0,0,(E4-F4)/F4)</f>
        <v>0</v>
      </c>
    </row>
    <row r="5" customHeight="1" spans="1:7">
      <c r="A5" s="2" t="s">
        <v>9</v>
      </c>
      <c r="B5" s="2" t="s">
        <v>10</v>
      </c>
      <c r="D5" s="37" t="s">
        <v>11</v>
      </c>
      <c r="E5" s="50">
        <f>A4*B4*(1+A6)*(1+B6)*A10*B10*(1+A8*B8)</f>
        <v>0</v>
      </c>
      <c r="F5" s="50">
        <v>0</v>
      </c>
      <c r="G5" s="52">
        <f>IF(F5=0,0,(E5-F5)/F5)</f>
        <v>0</v>
      </c>
    </row>
    <row r="6" customHeight="1" spans="1:2">
      <c r="A6" s="53">
        <v>0</v>
      </c>
      <c r="B6" s="53">
        <v>0</v>
      </c>
    </row>
    <row r="7" customHeight="1" spans="1:2">
      <c r="A7" s="2" t="s">
        <v>12</v>
      </c>
      <c r="B7" s="2" t="s">
        <v>8</v>
      </c>
    </row>
    <row r="8" customHeight="1" spans="1:2">
      <c r="A8" s="53">
        <v>0</v>
      </c>
      <c r="B8" s="53">
        <v>0</v>
      </c>
    </row>
    <row r="9" customHeight="1" spans="1:2">
      <c r="A9" s="2" t="s">
        <v>13</v>
      </c>
      <c r="B9" s="2" t="s">
        <v>14</v>
      </c>
    </row>
    <row r="10" customHeight="1" spans="1:2">
      <c r="A10" s="49">
        <f>(100+A2)/(199+A2+B2)</f>
        <v>0.50131926121372</v>
      </c>
      <c r="B10" s="49">
        <v>0.9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J16" sqref="J16"/>
    </sheetView>
  </sheetViews>
  <sheetFormatPr defaultColWidth="10.8916666666667" defaultRowHeight="20" customHeight="1"/>
  <cols>
    <col min="1" max="1" width="12.225" style="1" customWidth="1"/>
    <col min="2" max="2" width="13.3333333333333" style="1" customWidth="1"/>
    <col min="3" max="4" width="10.8916666666667" style="1" customWidth="1"/>
    <col min="5" max="6" width="10.8916666666667" style="46" customWidth="1"/>
    <col min="7" max="7" width="12.775" style="46" customWidth="1"/>
    <col min="8" max="16384" width="10.8916666666667" style="1" customWidth="1"/>
  </cols>
  <sheetData>
    <row r="1" s="45" customFormat="1" ht="23" customHeight="1" spans="1:7">
      <c r="A1" s="45" t="s">
        <v>15</v>
      </c>
      <c r="B1" s="45" t="s">
        <v>16</v>
      </c>
      <c r="C1" s="45" t="s">
        <v>17</v>
      </c>
      <c r="D1" s="45" t="s">
        <v>18</v>
      </c>
      <c r="E1" s="45" t="s">
        <v>19</v>
      </c>
      <c r="F1" s="45" t="s">
        <v>12</v>
      </c>
      <c r="G1" s="45" t="s">
        <v>8</v>
      </c>
    </row>
    <row r="2" customHeight="1" spans="1:16">
      <c r="A2" s="1" t="s">
        <v>20</v>
      </c>
      <c r="B2" s="1">
        <v>5</v>
      </c>
      <c r="C2" s="1" t="s">
        <v>21</v>
      </c>
      <c r="D2" s="1">
        <v>587</v>
      </c>
      <c r="E2" s="46">
        <v>0</v>
      </c>
      <c r="F2" s="46">
        <v>0.243</v>
      </c>
      <c r="G2" s="46">
        <v>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22</v>
      </c>
      <c r="P2" s="1" t="s">
        <v>25</v>
      </c>
    </row>
    <row r="3" customHeight="1" spans="1:16">
      <c r="A3" s="1" t="s">
        <v>20</v>
      </c>
      <c r="B3" s="1">
        <v>5</v>
      </c>
      <c r="C3" s="1" t="s">
        <v>26</v>
      </c>
      <c r="D3" s="1">
        <v>587</v>
      </c>
      <c r="E3" s="46">
        <v>0.364</v>
      </c>
      <c r="F3" s="46">
        <v>0</v>
      </c>
      <c r="G3" s="46">
        <v>0</v>
      </c>
      <c r="K3" s="1">
        <v>1</v>
      </c>
      <c r="L3" s="47">
        <v>0.12</v>
      </c>
      <c r="M3" s="47">
        <v>0.24</v>
      </c>
      <c r="N3" s="1">
        <v>1</v>
      </c>
      <c r="O3" s="47">
        <v>0.12</v>
      </c>
      <c r="P3" s="47">
        <v>0.12</v>
      </c>
    </row>
    <row r="4" customHeight="1" spans="1:16">
      <c r="A4" s="1" t="s">
        <v>20</v>
      </c>
      <c r="B4" s="1">
        <v>5</v>
      </c>
      <c r="C4" s="1" t="s">
        <v>24</v>
      </c>
      <c r="D4" s="1">
        <v>587</v>
      </c>
      <c r="E4" s="46">
        <v>0</v>
      </c>
      <c r="F4" s="46">
        <v>0</v>
      </c>
      <c r="G4" s="46">
        <v>0.486</v>
      </c>
      <c r="K4" s="1">
        <v>2</v>
      </c>
      <c r="L4" s="47">
        <v>0.15</v>
      </c>
      <c r="M4" s="47">
        <f>M3+6%</f>
        <v>0.3</v>
      </c>
      <c r="N4" s="1">
        <v>2</v>
      </c>
      <c r="O4" s="47">
        <v>0.15</v>
      </c>
      <c r="P4" s="47">
        <v>0.15</v>
      </c>
    </row>
    <row r="5" customHeight="1" spans="1:16">
      <c r="A5" s="1" t="s">
        <v>27</v>
      </c>
      <c r="B5" s="1">
        <v>5</v>
      </c>
      <c r="C5" s="1" t="s">
        <v>28</v>
      </c>
      <c r="D5" s="1">
        <v>587</v>
      </c>
      <c r="E5" s="46">
        <v>0.364</v>
      </c>
      <c r="F5" s="46">
        <v>0</v>
      </c>
      <c r="G5" s="46">
        <v>0</v>
      </c>
      <c r="K5" s="1">
        <v>3</v>
      </c>
      <c r="L5" s="47">
        <v>0.18</v>
      </c>
      <c r="M5" s="47">
        <f>M4+6%</f>
        <v>0.36</v>
      </c>
      <c r="N5" s="1">
        <v>3</v>
      </c>
      <c r="O5" s="47">
        <v>0.18</v>
      </c>
      <c r="P5" s="47">
        <v>0.18</v>
      </c>
    </row>
    <row r="6" customHeight="1" spans="1:16">
      <c r="A6" s="1" t="s">
        <v>29</v>
      </c>
      <c r="B6" s="1">
        <v>5</v>
      </c>
      <c r="C6" s="1" t="s">
        <v>30</v>
      </c>
      <c r="D6" s="1">
        <v>587</v>
      </c>
      <c r="E6" s="46">
        <v>0</v>
      </c>
      <c r="F6" s="46">
        <v>0.243</v>
      </c>
      <c r="G6" s="46">
        <v>0</v>
      </c>
      <c r="K6" s="1">
        <v>4</v>
      </c>
      <c r="L6" s="47">
        <v>0.21</v>
      </c>
      <c r="M6" s="47">
        <f>M5+6%</f>
        <v>0.42</v>
      </c>
      <c r="N6" s="1">
        <v>4</v>
      </c>
      <c r="O6" s="47">
        <v>0.21</v>
      </c>
      <c r="P6" s="47">
        <v>0.21</v>
      </c>
    </row>
    <row r="7" customHeight="1" spans="1:16">
      <c r="A7" s="1" t="s">
        <v>29</v>
      </c>
      <c r="B7" s="1">
        <v>5</v>
      </c>
      <c r="C7" s="1" t="s">
        <v>31</v>
      </c>
      <c r="D7" s="1">
        <v>587</v>
      </c>
      <c r="E7" s="46">
        <v>0</v>
      </c>
      <c r="F7" s="46">
        <v>0</v>
      </c>
      <c r="G7" s="46">
        <v>0.486</v>
      </c>
      <c r="K7" s="1">
        <v>5</v>
      </c>
      <c r="L7" s="47">
        <v>0.24</v>
      </c>
      <c r="M7" s="47">
        <f>M6+6%</f>
        <v>0.48</v>
      </c>
      <c r="N7" s="1">
        <v>5</v>
      </c>
      <c r="O7" s="47">
        <v>0.24</v>
      </c>
      <c r="P7" s="47">
        <v>0.24</v>
      </c>
    </row>
    <row r="8" customHeight="1" spans="1:12">
      <c r="A8" s="1" t="s">
        <v>32</v>
      </c>
      <c r="B8" s="1">
        <v>5</v>
      </c>
      <c r="C8" s="1" t="s">
        <v>33</v>
      </c>
      <c r="D8" s="1">
        <v>500</v>
      </c>
      <c r="E8" s="46">
        <v>0</v>
      </c>
      <c r="F8" s="46">
        <v>0.36</v>
      </c>
      <c r="G8" s="46">
        <v>0</v>
      </c>
      <c r="K8" s="1" t="s">
        <v>26</v>
      </c>
      <c r="L8" s="1" t="s">
        <v>34</v>
      </c>
    </row>
    <row r="9" customHeight="1" spans="11:12">
      <c r="K9" s="1">
        <v>1</v>
      </c>
      <c r="L9" s="35">
        <v>0.07</v>
      </c>
    </row>
    <row r="10" customHeight="1" spans="11:12">
      <c r="K10" s="1">
        <v>2</v>
      </c>
      <c r="L10" s="35">
        <v>0.0875</v>
      </c>
    </row>
    <row r="11" customHeight="1" spans="11:12">
      <c r="K11" s="1">
        <v>3</v>
      </c>
      <c r="L11" s="35">
        <f>L10+1.75%</f>
        <v>0.105</v>
      </c>
    </row>
    <row r="12" customHeight="1" spans="11:12">
      <c r="K12" s="1">
        <v>4</v>
      </c>
      <c r="L12" s="35">
        <f>L11+1.75%</f>
        <v>0.1225</v>
      </c>
    </row>
    <row r="13" customHeight="1" spans="11:12">
      <c r="K13" s="1">
        <v>5</v>
      </c>
      <c r="L13" s="35">
        <f>L12+1.75%</f>
        <v>0.14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workbookViewId="0">
      <selection activeCell="A2" sqref="A2"/>
    </sheetView>
  </sheetViews>
  <sheetFormatPr defaultColWidth="11.1083333333333" defaultRowHeight="20" customHeight="1"/>
  <cols>
    <col min="1" max="10" width="11.8916666666667" style="1" customWidth="1"/>
    <col min="11" max="11" width="9.66666666666667" style="1" customWidth="1"/>
    <col min="12" max="12" width="11.8916666666667" style="1" customWidth="1"/>
    <col min="13" max="14" width="13.775" style="1" customWidth="1"/>
    <col min="15" max="16" width="11.8916666666667" style="1" customWidth="1"/>
    <col min="17" max="16384" width="11.1083333333333" style="1" customWidth="1"/>
  </cols>
  <sheetData>
    <row r="1" ht="22" customHeight="1" spans="1:15">
      <c r="A1" s="2" t="s">
        <v>35</v>
      </c>
      <c r="B1" s="2" t="s">
        <v>17</v>
      </c>
      <c r="C1" s="2" t="s">
        <v>36</v>
      </c>
      <c r="D1" s="3" t="s">
        <v>37</v>
      </c>
      <c r="E1" s="3" t="s">
        <v>38</v>
      </c>
      <c r="F1" s="3" t="s">
        <v>19</v>
      </c>
      <c r="G1" s="3" t="s">
        <v>9</v>
      </c>
      <c r="H1" s="3" t="s">
        <v>10</v>
      </c>
      <c r="I1" s="3" t="s">
        <v>12</v>
      </c>
      <c r="J1" s="3" t="s">
        <v>8</v>
      </c>
      <c r="K1" s="3" t="s">
        <v>13</v>
      </c>
      <c r="L1" s="3" t="s">
        <v>14</v>
      </c>
      <c r="M1" s="3" t="s">
        <v>8</v>
      </c>
      <c r="N1" s="3" t="s">
        <v>11</v>
      </c>
      <c r="O1" s="3" t="s">
        <v>39</v>
      </c>
    </row>
    <row r="2" ht="22" customHeight="1" spans="1:15">
      <c r="A2" s="4">
        <v>0</v>
      </c>
      <c r="B2" s="4" t="s">
        <v>21</v>
      </c>
      <c r="C2" s="4">
        <v>1</v>
      </c>
      <c r="D2" s="5" t="s">
        <v>40</v>
      </c>
      <c r="E2" s="6">
        <f t="shared" ref="E2:E8" si="0">VLOOKUP(D2,$B$30:$D$42,2,0)</f>
        <v>2.0905</v>
      </c>
      <c r="F2" s="7">
        <f>A15+A10*B29+IF(A2&gt;2,50%*B29,0)</f>
        <v>1120</v>
      </c>
      <c r="G2" s="8">
        <f>A17+A12+30%</f>
        <v>0.62</v>
      </c>
      <c r="H2" s="8">
        <v>0</v>
      </c>
      <c r="I2" s="36">
        <f>B15</f>
        <v>0.373</v>
      </c>
      <c r="J2" s="36">
        <f>C15</f>
        <v>1.5</v>
      </c>
      <c r="K2" s="7">
        <f>(100+90)/(199+90+90)</f>
        <v>0.50131926121372</v>
      </c>
      <c r="L2" s="7">
        <v>0.9</v>
      </c>
      <c r="M2" s="37">
        <f>E2*F2*(1+G2)*(1+H2)*(1+J2)*K2*L2</f>
        <v>4278.38751451187</v>
      </c>
      <c r="N2" s="37">
        <f>E2*F2*(1+G2)*(1+H2)*(1+I2*J2)*K2*L2</f>
        <v>2668.85813155251</v>
      </c>
      <c r="O2" s="7" t="str">
        <f t="shared" ref="O2:O15" si="1">VLOOKUP(D2,$B$30:$D$42,3,0)</f>
        <v>变奏</v>
      </c>
    </row>
    <row r="3" ht="22" customHeight="1" spans="1:15">
      <c r="A3" s="9" t="s">
        <v>41</v>
      </c>
      <c r="B3" s="9"/>
      <c r="C3" s="9"/>
      <c r="D3" s="5" t="s">
        <v>42</v>
      </c>
      <c r="E3" s="6">
        <f t="shared" si="0"/>
        <v>4.6722</v>
      </c>
      <c r="F3" s="7">
        <f>F2</f>
        <v>1120</v>
      </c>
      <c r="G3" s="8">
        <f>G2+16%+IF($B$2="时和岁稔",VLOOKUP($C$2,武器数据库!$K$2:$M$7,2,0),0)*2+B17</f>
        <v>1.02</v>
      </c>
      <c r="H3" s="8">
        <f>H2</f>
        <v>0</v>
      </c>
      <c r="I3" s="36">
        <f>I2</f>
        <v>0.373</v>
      </c>
      <c r="J3" s="36">
        <f>J2</f>
        <v>1.5</v>
      </c>
      <c r="K3" s="7">
        <f>K2</f>
        <v>0.50131926121372</v>
      </c>
      <c r="L3" s="7">
        <f>L2</f>
        <v>0.9</v>
      </c>
      <c r="M3" s="37">
        <f t="shared" ref="M3:M15" si="2">E3*F3*(1+G3)*(1+H3)*(1+J3)*K3*L3</f>
        <v>11923.0599134565</v>
      </c>
      <c r="N3" s="37">
        <f t="shared" ref="N3:N15" si="3">E3*F3*(1+G3)*(1+H3)*(1+I3*J3)*K3*L3</f>
        <v>7437.60477401414</v>
      </c>
      <c r="O3" s="7" t="str">
        <f t="shared" si="1"/>
        <v>E</v>
      </c>
    </row>
    <row r="4" ht="22" customHeight="1" spans="1:15">
      <c r="A4" s="10" t="s">
        <v>19</v>
      </c>
      <c r="B4" s="10" t="s">
        <v>12</v>
      </c>
      <c r="C4" s="10" t="s">
        <v>8</v>
      </c>
      <c r="D4" s="5" t="s">
        <v>43</v>
      </c>
      <c r="E4" s="6">
        <f t="shared" si="0"/>
        <v>0.3948</v>
      </c>
      <c r="F4" s="7">
        <f t="shared" ref="F4:F15" si="4">F3</f>
        <v>1120</v>
      </c>
      <c r="G4" s="8">
        <f>G3</f>
        <v>1.02</v>
      </c>
      <c r="H4" s="8">
        <f t="shared" ref="H4:H15" si="5">H3</f>
        <v>0</v>
      </c>
      <c r="I4" s="36">
        <f t="shared" ref="I4:I15" si="6">I3</f>
        <v>0.373</v>
      </c>
      <c r="J4" s="36">
        <f t="shared" ref="J4:J15" si="7">J3</f>
        <v>1.5</v>
      </c>
      <c r="K4" s="7">
        <f t="shared" ref="K4:K15" si="8">K3</f>
        <v>0.50131926121372</v>
      </c>
      <c r="L4" s="7">
        <f t="shared" ref="L4:L15" si="9">L3</f>
        <v>0.9</v>
      </c>
      <c r="M4" s="37">
        <f t="shared" si="2"/>
        <v>1007.49626596306</v>
      </c>
      <c r="N4" s="37">
        <f t="shared" si="3"/>
        <v>628.476170707757</v>
      </c>
      <c r="O4" s="7" t="str">
        <f t="shared" si="1"/>
        <v>E</v>
      </c>
    </row>
    <row r="5" ht="22" customHeight="1" spans="1:15">
      <c r="A5" s="11">
        <v>0</v>
      </c>
      <c r="B5" s="12">
        <v>0</v>
      </c>
      <c r="C5" s="12">
        <v>0</v>
      </c>
      <c r="D5" s="5" t="s">
        <v>44</v>
      </c>
      <c r="E5" s="6">
        <f t="shared" si="0"/>
        <v>4.9981</v>
      </c>
      <c r="F5" s="7">
        <f t="shared" si="4"/>
        <v>1120</v>
      </c>
      <c r="G5" s="8">
        <f>IF(A2&gt;3,20%,0)+G4-B17+C17+IF($B$2="浩境粼光",VLOOKUP($C$2,武器数据库!$K$8:$L$13,2,0))-IF($B$2="时和岁稔",VLOOKUP($C$2,武器数据库!$K$2:$M$7,2,0),0)*2</f>
        <v>0.78</v>
      </c>
      <c r="H5" s="8">
        <f t="shared" si="5"/>
        <v>0</v>
      </c>
      <c r="I5" s="36">
        <f t="shared" si="6"/>
        <v>0.373</v>
      </c>
      <c r="J5" s="36">
        <f t="shared" si="7"/>
        <v>1.5</v>
      </c>
      <c r="K5" s="7">
        <f t="shared" si="8"/>
        <v>0.50131926121372</v>
      </c>
      <c r="L5" s="7">
        <f t="shared" si="9"/>
        <v>0.9</v>
      </c>
      <c r="M5" s="37">
        <f t="shared" si="2"/>
        <v>11239.3158269129</v>
      </c>
      <c r="N5" s="37">
        <f t="shared" si="3"/>
        <v>7011.08521282828</v>
      </c>
      <c r="O5" s="7" t="str">
        <f t="shared" si="1"/>
        <v>Q</v>
      </c>
    </row>
    <row r="6" ht="22" customHeight="1" spans="1:15">
      <c r="A6" s="10" t="s">
        <v>45</v>
      </c>
      <c r="B6" s="10" t="s">
        <v>46</v>
      </c>
      <c r="C6" s="10" t="s">
        <v>47</v>
      </c>
      <c r="D6" s="5" t="s">
        <v>48</v>
      </c>
      <c r="E6" s="6">
        <f t="shared" si="0"/>
        <v>0.8862</v>
      </c>
      <c r="F6" s="7">
        <f t="shared" si="4"/>
        <v>1120</v>
      </c>
      <c r="G6" s="8">
        <f>G5-C17+B17+IF($B$2="时和岁稔",VLOOKUP($C$2,武器数据库!$K$2:$M$7,2,0),0)*2</f>
        <v>1.02</v>
      </c>
      <c r="H6" s="8">
        <f t="shared" si="5"/>
        <v>0</v>
      </c>
      <c r="I6" s="36">
        <f t="shared" si="6"/>
        <v>0.373</v>
      </c>
      <c r="J6" s="36">
        <f t="shared" si="7"/>
        <v>1.5</v>
      </c>
      <c r="K6" s="7">
        <f t="shared" si="8"/>
        <v>0.50131926121372</v>
      </c>
      <c r="L6" s="7">
        <f t="shared" si="9"/>
        <v>0.9</v>
      </c>
      <c r="M6" s="37">
        <f t="shared" si="2"/>
        <v>2261.50757572559</v>
      </c>
      <c r="N6" s="37">
        <f t="shared" si="3"/>
        <v>1410.72842573762</v>
      </c>
      <c r="O6" s="7" t="str">
        <f t="shared" si="1"/>
        <v>E</v>
      </c>
    </row>
    <row r="7" ht="22" customHeight="1" spans="1:15">
      <c r="A7" s="12">
        <v>0</v>
      </c>
      <c r="B7" s="12">
        <v>0</v>
      </c>
      <c r="C7" s="12">
        <v>0</v>
      </c>
      <c r="D7" s="5" t="s">
        <v>49</v>
      </c>
      <c r="E7" s="6">
        <f t="shared" si="0"/>
        <v>1.2995</v>
      </c>
      <c r="F7" s="7">
        <f t="shared" si="4"/>
        <v>1120</v>
      </c>
      <c r="G7" s="8">
        <f t="shared" ref="G7:G14" si="10">G6</f>
        <v>1.02</v>
      </c>
      <c r="H7" s="8">
        <f t="shared" si="5"/>
        <v>0</v>
      </c>
      <c r="I7" s="36">
        <f t="shared" si="6"/>
        <v>0.373</v>
      </c>
      <c r="J7" s="36">
        <f t="shared" si="7"/>
        <v>1.5</v>
      </c>
      <c r="K7" s="7">
        <f t="shared" si="8"/>
        <v>0.50131926121372</v>
      </c>
      <c r="L7" s="7">
        <f t="shared" si="9"/>
        <v>0.9</v>
      </c>
      <c r="M7" s="37">
        <f t="shared" si="2"/>
        <v>3316.21427968337</v>
      </c>
      <c r="N7" s="37">
        <f t="shared" si="3"/>
        <v>2068.65446766649</v>
      </c>
      <c r="O7" s="7" t="str">
        <f t="shared" si="1"/>
        <v>E</v>
      </c>
    </row>
    <row r="8" ht="22" customHeight="1" spans="1:15">
      <c r="A8" s="13" t="s">
        <v>50</v>
      </c>
      <c r="B8" s="13"/>
      <c r="C8" s="13"/>
      <c r="D8" s="5" t="s">
        <v>51</v>
      </c>
      <c r="E8" s="6">
        <f t="shared" si="0"/>
        <v>1.6574</v>
      </c>
      <c r="F8" s="7">
        <f t="shared" si="4"/>
        <v>1120</v>
      </c>
      <c r="G8" s="8">
        <f t="shared" si="10"/>
        <v>1.02</v>
      </c>
      <c r="H8" s="8">
        <f t="shared" si="5"/>
        <v>0</v>
      </c>
      <c r="I8" s="36">
        <f t="shared" si="6"/>
        <v>0.373</v>
      </c>
      <c r="J8" s="36">
        <f t="shared" si="7"/>
        <v>1.5</v>
      </c>
      <c r="K8" s="7">
        <f t="shared" si="8"/>
        <v>0.50131926121372</v>
      </c>
      <c r="L8" s="7">
        <f t="shared" si="9"/>
        <v>0.9</v>
      </c>
      <c r="M8" s="37">
        <f t="shared" si="2"/>
        <v>4229.54486121372</v>
      </c>
      <c r="N8" s="37">
        <f t="shared" si="3"/>
        <v>2638.39008442512</v>
      </c>
      <c r="O8" s="7" t="str">
        <f t="shared" si="1"/>
        <v>E</v>
      </c>
    </row>
    <row r="9" ht="22" customHeight="1" spans="1:15">
      <c r="A9" s="14" t="s">
        <v>19</v>
      </c>
      <c r="B9" s="14" t="s">
        <v>12</v>
      </c>
      <c r="C9" s="14" t="s">
        <v>8</v>
      </c>
      <c r="D9" s="5" t="s">
        <v>52</v>
      </c>
      <c r="E9" s="6">
        <f t="shared" ref="E9:E15" si="11">VLOOKUP(D9,$B$30:$D$42,2,0)</f>
        <v>1.5568</v>
      </c>
      <c r="F9" s="7">
        <f t="shared" si="4"/>
        <v>1120</v>
      </c>
      <c r="G9" s="8">
        <f t="shared" si="10"/>
        <v>1.02</v>
      </c>
      <c r="H9" s="8">
        <f t="shared" si="5"/>
        <v>0</v>
      </c>
      <c r="I9" s="36">
        <f t="shared" si="6"/>
        <v>0.373</v>
      </c>
      <c r="J9" s="36">
        <f t="shared" si="7"/>
        <v>1.5</v>
      </c>
      <c r="K9" s="7">
        <f t="shared" si="8"/>
        <v>0.50131926121372</v>
      </c>
      <c r="L9" s="7">
        <f t="shared" si="9"/>
        <v>0.9</v>
      </c>
      <c r="M9" s="37">
        <f t="shared" si="2"/>
        <v>3972.82215514512</v>
      </c>
      <c r="N9" s="37">
        <f t="shared" si="3"/>
        <v>2478.24646037952</v>
      </c>
      <c r="O9" s="7" t="str">
        <f t="shared" si="1"/>
        <v>E</v>
      </c>
    </row>
    <row r="10" ht="22" customHeight="1" spans="1:15">
      <c r="A10" s="15">
        <v>0</v>
      </c>
      <c r="B10" s="15">
        <v>0</v>
      </c>
      <c r="C10" s="15">
        <v>0</v>
      </c>
      <c r="D10" s="5" t="s">
        <v>53</v>
      </c>
      <c r="E10" s="6">
        <f t="shared" si="11"/>
        <v>1.5781</v>
      </c>
      <c r="F10" s="7">
        <f t="shared" si="4"/>
        <v>1120</v>
      </c>
      <c r="G10" s="8">
        <f t="shared" si="10"/>
        <v>1.02</v>
      </c>
      <c r="H10" s="8">
        <f t="shared" si="5"/>
        <v>0</v>
      </c>
      <c r="I10" s="36">
        <f t="shared" si="6"/>
        <v>0.373</v>
      </c>
      <c r="J10" s="36">
        <f t="shared" si="7"/>
        <v>1.5</v>
      </c>
      <c r="K10" s="7">
        <f t="shared" si="8"/>
        <v>0.50131926121372</v>
      </c>
      <c r="L10" s="7">
        <f t="shared" si="9"/>
        <v>0.9</v>
      </c>
      <c r="M10" s="37">
        <f t="shared" si="2"/>
        <v>4027.17795672823</v>
      </c>
      <c r="N10" s="37">
        <f t="shared" si="3"/>
        <v>2512.15360940707</v>
      </c>
      <c r="O10" s="7" t="str">
        <f t="shared" si="1"/>
        <v>E</v>
      </c>
    </row>
    <row r="11" ht="22" customHeight="1" spans="1:15">
      <c r="A11" s="14" t="s">
        <v>54</v>
      </c>
      <c r="B11" s="14" t="s">
        <v>55</v>
      </c>
      <c r="C11" s="14" t="s">
        <v>34</v>
      </c>
      <c r="D11" s="5" t="s">
        <v>48</v>
      </c>
      <c r="E11" s="6">
        <f t="shared" si="11"/>
        <v>0.8862</v>
      </c>
      <c r="F11" s="7">
        <f t="shared" si="4"/>
        <v>1120</v>
      </c>
      <c r="G11" s="8">
        <f t="shared" si="10"/>
        <v>1.02</v>
      </c>
      <c r="H11" s="8">
        <f t="shared" si="5"/>
        <v>0</v>
      </c>
      <c r="I11" s="36">
        <f t="shared" si="6"/>
        <v>0.373</v>
      </c>
      <c r="J11" s="36">
        <f t="shared" si="7"/>
        <v>1.5</v>
      </c>
      <c r="K11" s="7">
        <f t="shared" si="8"/>
        <v>0.50131926121372</v>
      </c>
      <c r="L11" s="7">
        <f t="shared" si="9"/>
        <v>0.9</v>
      </c>
      <c r="M11" s="37">
        <f t="shared" si="2"/>
        <v>2261.50757572559</v>
      </c>
      <c r="N11" s="37">
        <f t="shared" si="3"/>
        <v>1410.72842573762</v>
      </c>
      <c r="O11" s="7" t="str">
        <f t="shared" si="1"/>
        <v>E</v>
      </c>
    </row>
    <row r="12" ht="22" customHeight="1" spans="1:15">
      <c r="A12" s="15">
        <v>0</v>
      </c>
      <c r="B12" s="15">
        <v>0</v>
      </c>
      <c r="C12" s="15">
        <v>0</v>
      </c>
      <c r="D12" s="5" t="s">
        <v>49</v>
      </c>
      <c r="E12" s="6">
        <f t="shared" si="11"/>
        <v>1.2995</v>
      </c>
      <c r="F12" s="7">
        <f t="shared" si="4"/>
        <v>1120</v>
      </c>
      <c r="G12" s="8">
        <f t="shared" si="10"/>
        <v>1.02</v>
      </c>
      <c r="H12" s="8">
        <f t="shared" si="5"/>
        <v>0</v>
      </c>
      <c r="I12" s="36">
        <f t="shared" si="6"/>
        <v>0.373</v>
      </c>
      <c r="J12" s="36">
        <f t="shared" si="7"/>
        <v>1.5</v>
      </c>
      <c r="K12" s="7">
        <f t="shared" si="8"/>
        <v>0.50131926121372</v>
      </c>
      <c r="L12" s="7">
        <f t="shared" si="9"/>
        <v>0.9</v>
      </c>
      <c r="M12" s="37">
        <f t="shared" si="2"/>
        <v>3316.21427968337</v>
      </c>
      <c r="N12" s="37">
        <f t="shared" si="3"/>
        <v>2068.65446766649</v>
      </c>
      <c r="O12" s="7" t="str">
        <f t="shared" si="1"/>
        <v>E</v>
      </c>
    </row>
    <row r="13" ht="22" customHeight="1" spans="1:15">
      <c r="A13" s="16" t="s">
        <v>56</v>
      </c>
      <c r="B13" s="16"/>
      <c r="C13" s="16"/>
      <c r="D13" s="5" t="s">
        <v>51</v>
      </c>
      <c r="E13" s="6">
        <f t="shared" si="11"/>
        <v>1.6574</v>
      </c>
      <c r="F13" s="7">
        <f t="shared" si="4"/>
        <v>1120</v>
      </c>
      <c r="G13" s="8">
        <f t="shared" si="10"/>
        <v>1.02</v>
      </c>
      <c r="H13" s="8">
        <f t="shared" si="5"/>
        <v>0</v>
      </c>
      <c r="I13" s="36">
        <f t="shared" si="6"/>
        <v>0.373</v>
      </c>
      <c r="J13" s="36">
        <f t="shared" si="7"/>
        <v>1.5</v>
      </c>
      <c r="K13" s="7">
        <f t="shared" si="8"/>
        <v>0.50131926121372</v>
      </c>
      <c r="L13" s="7">
        <f t="shared" si="9"/>
        <v>0.9</v>
      </c>
      <c r="M13" s="37">
        <f t="shared" si="2"/>
        <v>4229.54486121372</v>
      </c>
      <c r="N13" s="37">
        <f t="shared" si="3"/>
        <v>2638.39008442512</v>
      </c>
      <c r="O13" s="7" t="str">
        <f t="shared" si="1"/>
        <v>E</v>
      </c>
    </row>
    <row r="14" ht="22" customHeight="1" spans="1:15">
      <c r="A14" s="17" t="s">
        <v>19</v>
      </c>
      <c r="B14" s="17" t="s">
        <v>12</v>
      </c>
      <c r="C14" s="17" t="s">
        <v>8</v>
      </c>
      <c r="D14" s="5" t="s">
        <v>57</v>
      </c>
      <c r="E14" s="6">
        <f t="shared" si="11"/>
        <v>1.1934</v>
      </c>
      <c r="F14" s="7">
        <f t="shared" si="4"/>
        <v>1120</v>
      </c>
      <c r="G14" s="8">
        <f t="shared" si="10"/>
        <v>1.02</v>
      </c>
      <c r="H14" s="8">
        <f t="shared" si="5"/>
        <v>0</v>
      </c>
      <c r="I14" s="36">
        <f t="shared" si="6"/>
        <v>0.373</v>
      </c>
      <c r="J14" s="36">
        <f t="shared" si="7"/>
        <v>1.5</v>
      </c>
      <c r="K14" s="7">
        <f t="shared" si="8"/>
        <v>0.50131926121372</v>
      </c>
      <c r="L14" s="7">
        <f t="shared" si="9"/>
        <v>0.9</v>
      </c>
      <c r="M14" s="37">
        <f t="shared" si="2"/>
        <v>3045.45603799472</v>
      </c>
      <c r="N14" s="37">
        <f t="shared" si="3"/>
        <v>1899.75547650111</v>
      </c>
      <c r="O14" s="7" t="str">
        <f t="shared" si="1"/>
        <v>E</v>
      </c>
    </row>
    <row r="15" ht="22" customHeight="1" spans="1:15">
      <c r="A15" s="18">
        <f>B29+A5+VLOOKUP(B2,武器数据库!C1:E8,3,0)*B29+12%*B29</f>
        <v>1120</v>
      </c>
      <c r="B15" s="19">
        <f>B5+VLOOKUP($B$2,武器数据库!$C:$G,4,0)+8%+5%</f>
        <v>0.373</v>
      </c>
      <c r="C15" s="19">
        <f>150%+C5+VLOOKUP($B$2,武器数据库!$C:$G,5,0)</f>
        <v>1.5</v>
      </c>
      <c r="D15" s="5" t="s">
        <v>58</v>
      </c>
      <c r="E15" s="6">
        <f t="shared" si="11"/>
        <v>25.7492</v>
      </c>
      <c r="F15" s="7">
        <f t="shared" si="4"/>
        <v>1120</v>
      </c>
      <c r="G15" s="8">
        <f>IF(A2&gt;0,80%,0)+G14</f>
        <v>1.02</v>
      </c>
      <c r="H15" s="8">
        <f t="shared" si="5"/>
        <v>0</v>
      </c>
      <c r="I15" s="36">
        <f t="shared" si="6"/>
        <v>0.373</v>
      </c>
      <c r="J15" s="36">
        <f t="shared" si="7"/>
        <v>1.5</v>
      </c>
      <c r="K15" s="7">
        <f t="shared" si="8"/>
        <v>0.50131926121372</v>
      </c>
      <c r="L15" s="7">
        <f t="shared" si="9"/>
        <v>0.9</v>
      </c>
      <c r="M15" s="37">
        <f t="shared" si="2"/>
        <v>65709.7843250659</v>
      </c>
      <c r="N15" s="37">
        <f t="shared" si="3"/>
        <v>40989.7634619761</v>
      </c>
      <c r="O15" s="7" t="str">
        <f t="shared" si="1"/>
        <v>E</v>
      </c>
    </row>
    <row r="16" ht="22" customHeight="1" spans="1:14">
      <c r="A16" s="17" t="s">
        <v>45</v>
      </c>
      <c r="B16" s="17" t="s">
        <v>46</v>
      </c>
      <c r="C16" s="17" t="s">
        <v>47</v>
      </c>
      <c r="D16" s="20" t="s">
        <v>59</v>
      </c>
      <c r="E16" s="21" t="s">
        <v>60</v>
      </c>
      <c r="F16" s="21" t="s">
        <v>61</v>
      </c>
      <c r="G16" s="21" t="s">
        <v>61</v>
      </c>
      <c r="H16" s="21" t="s">
        <v>62</v>
      </c>
      <c r="I16" s="21" t="s">
        <v>62</v>
      </c>
      <c r="L16" s="38" t="s">
        <v>2</v>
      </c>
      <c r="M16" s="39">
        <f>SUM(M2:M15)</f>
        <v>124818.033429024</v>
      </c>
      <c r="N16" s="39">
        <f>SUM(N2:N15)</f>
        <v>77861.4892530249</v>
      </c>
    </row>
    <row r="17" ht="22" customHeight="1" spans="1:14">
      <c r="A17" s="22">
        <f>A7+20%+IF($B$2="时和岁稔",VLOOKUP($C$2,武器数据库!$K$2:$M$7,2,0),0)+IF($B$2="苍鳞千嶂",VLOOKUP($C$2,武器数据库!$N$2:$P$7,2,0),0)</f>
        <v>0.32</v>
      </c>
      <c r="B17" s="22">
        <f>B7</f>
        <v>0</v>
      </c>
      <c r="C17" s="22">
        <f>C7</f>
        <v>0</v>
      </c>
      <c r="D17" s="23" t="s">
        <v>63</v>
      </c>
      <c r="E17" s="24" t="s">
        <v>64</v>
      </c>
      <c r="F17" s="25" t="s">
        <v>45</v>
      </c>
      <c r="G17" s="25" t="s">
        <v>45</v>
      </c>
      <c r="H17" s="25" t="s">
        <v>19</v>
      </c>
      <c r="I17" s="25" t="s">
        <v>19</v>
      </c>
      <c r="L17" s="9" t="s">
        <v>3</v>
      </c>
      <c r="M17" s="40"/>
      <c r="N17" s="40"/>
    </row>
    <row r="18" ht="22" customHeight="1" spans="1:14">
      <c r="A18" s="26" t="s">
        <v>65</v>
      </c>
      <c r="B18" s="27"/>
      <c r="C18" s="27"/>
      <c r="D18" s="28"/>
      <c r="E18"/>
      <c r="L18" s="9" t="s">
        <v>4</v>
      </c>
      <c r="M18" s="41">
        <f>IF(M17=0,0,(M16-M17)/M17)</f>
        <v>0</v>
      </c>
      <c r="N18" s="41">
        <f>IF(N17=0,0,(N16-N17)/N17)</f>
        <v>0</v>
      </c>
    </row>
    <row r="19" ht="22" customHeight="1" spans="1:4">
      <c r="A19" s="29" t="s">
        <v>19</v>
      </c>
      <c r="B19" s="29" t="s">
        <v>64</v>
      </c>
      <c r="C19" s="29" t="s">
        <v>46</v>
      </c>
      <c r="D19" s="30" t="s">
        <v>66</v>
      </c>
    </row>
    <row r="20" ht="22" customHeight="1" spans="1:6">
      <c r="A20" s="31">
        <f>IF((A5-J39*B29-L39)/B29/8.667%&lt;0,0,(A5-J39*B29-L39)/B29/8.667%)</f>
        <v>0</v>
      </c>
      <c r="B20" s="31">
        <f>IF((B5*2+C5-I39)/16.8%&lt;0,0,(B5*2+C5-I39)/16.8%)</f>
        <v>0</v>
      </c>
      <c r="C20" s="31">
        <f>B17/8.667%</f>
        <v>0</v>
      </c>
      <c r="D20" s="32">
        <f>SUM(A20:C20)</f>
        <v>0</v>
      </c>
      <c r="F20"/>
    </row>
    <row r="21" customHeight="1" spans="5:6">
      <c r="E21"/>
      <c r="F21"/>
    </row>
    <row r="22" customHeight="1" spans="5:6">
      <c r="E22"/>
      <c r="F22"/>
    </row>
    <row r="23" customHeight="1" spans="5:6">
      <c r="E23"/>
      <c r="F23"/>
    </row>
    <row r="24" customHeight="1" spans="5:6">
      <c r="E24"/>
      <c r="F24"/>
    </row>
    <row r="25" customHeight="1" spans="5:6">
      <c r="E25"/>
      <c r="F25"/>
    </row>
    <row r="28" customHeight="1" spans="2:2">
      <c r="B28" s="33" t="s">
        <v>67</v>
      </c>
    </row>
    <row r="29" customHeight="1" spans="2:11">
      <c r="B29" s="1">
        <f>VLOOKUP(B2,武器数据库!C:D,2,0)+413</f>
        <v>1000</v>
      </c>
      <c r="H29" s="34"/>
      <c r="I29" s="34" t="s">
        <v>64</v>
      </c>
      <c r="J29" s="34" t="s">
        <v>19</v>
      </c>
      <c r="K29" s="34" t="s">
        <v>45</v>
      </c>
    </row>
    <row r="30" customHeight="1" spans="2:11">
      <c r="B30" s="1" t="s">
        <v>37</v>
      </c>
      <c r="C30" s="1" t="s">
        <v>68</v>
      </c>
      <c r="D30" s="1" t="s">
        <v>69</v>
      </c>
      <c r="H30" s="34" t="s">
        <v>60</v>
      </c>
      <c r="I30" s="42">
        <v>0.44</v>
      </c>
      <c r="J30" s="42">
        <v>0.33</v>
      </c>
      <c r="K30" s="42">
        <v>0</v>
      </c>
    </row>
    <row r="31" customHeight="1" spans="2:11">
      <c r="B31" s="1" t="s">
        <v>48</v>
      </c>
      <c r="C31" s="35">
        <v>0.8862</v>
      </c>
      <c r="D31" s="1" t="s">
        <v>70</v>
      </c>
      <c r="H31" s="34" t="s">
        <v>61</v>
      </c>
      <c r="I31" s="34">
        <v>0</v>
      </c>
      <c r="J31" s="42">
        <v>0.3</v>
      </c>
      <c r="K31" s="42">
        <v>0.3</v>
      </c>
    </row>
    <row r="32" customHeight="1" spans="2:11">
      <c r="B32" s="1" t="s">
        <v>49</v>
      </c>
      <c r="C32" s="35">
        <f>77.97%+25.99%+25.99%</f>
        <v>1.2995</v>
      </c>
      <c r="D32" s="1" t="s">
        <v>70</v>
      </c>
      <c r="H32" s="34" t="s">
        <v>62</v>
      </c>
      <c r="I32" s="34">
        <v>0</v>
      </c>
      <c r="J32" s="42">
        <v>0.18</v>
      </c>
      <c r="K32" s="42">
        <v>0.3</v>
      </c>
    </row>
    <row r="33" customHeight="1" spans="2:12">
      <c r="B33" s="1" t="s">
        <v>51</v>
      </c>
      <c r="C33" s="35">
        <f>99.44%+66.3%</f>
        <v>1.6574</v>
      </c>
      <c r="D33" s="1" t="s">
        <v>70</v>
      </c>
      <c r="H33" s="34"/>
      <c r="I33" s="34" t="s">
        <v>64</v>
      </c>
      <c r="J33" s="34" t="s">
        <v>19</v>
      </c>
      <c r="K33" s="34" t="s">
        <v>45</v>
      </c>
      <c r="L33" s="43" t="s">
        <v>71</v>
      </c>
    </row>
    <row r="34" customHeight="1" spans="2:12">
      <c r="B34" s="1" t="s">
        <v>72</v>
      </c>
      <c r="C34" s="35">
        <f>18.67%*6+74.67%</f>
        <v>1.8669</v>
      </c>
      <c r="D34" s="1" t="s">
        <v>70</v>
      </c>
      <c r="H34" s="34" t="s">
        <v>73</v>
      </c>
      <c r="I34" s="42">
        <f>IF(E17="攻击力",0,44%)</f>
        <v>0.44</v>
      </c>
      <c r="J34" s="42">
        <f>IF(E17="攻击力",33%,0)</f>
        <v>0</v>
      </c>
      <c r="K34" s="42">
        <v>0</v>
      </c>
      <c r="L34" s="43">
        <f>IF(E16="Cost 1",0,IF(E16="Cost 4",150,100))</f>
        <v>150</v>
      </c>
    </row>
    <row r="35" customHeight="1" spans="2:12">
      <c r="B35" s="1" t="s">
        <v>52</v>
      </c>
      <c r="C35" s="35">
        <f>19.46%*4+77.84%</f>
        <v>1.5568</v>
      </c>
      <c r="D35" s="1" t="s">
        <v>70</v>
      </c>
      <c r="H35" s="34" t="s">
        <v>74</v>
      </c>
      <c r="I35" s="42">
        <f>IF(AND(F16="Cost 4",F17="双爆"),44%,0)</f>
        <v>0</v>
      </c>
      <c r="J35" s="42">
        <f>IF(F17="攻击力",IF(F16="Cost 3",30%,33%),0)</f>
        <v>0</v>
      </c>
      <c r="K35" s="42">
        <f>IF(AND(F17="衍射伤害",F16="Cost 3"),30%,0)</f>
        <v>0.3</v>
      </c>
      <c r="L35" s="43">
        <f>IF(F16="Cost 1",0,IF(F16="Cost 4",150,100))</f>
        <v>100</v>
      </c>
    </row>
    <row r="36" customHeight="1" spans="2:12">
      <c r="B36" s="1" t="s">
        <v>43</v>
      </c>
      <c r="C36" s="35">
        <f>9.87%*4</f>
        <v>0.3948</v>
      </c>
      <c r="D36" s="1" t="s">
        <v>70</v>
      </c>
      <c r="H36" s="34" t="s">
        <v>75</v>
      </c>
      <c r="I36" s="42">
        <v>0</v>
      </c>
      <c r="J36" s="42">
        <f>IF(G17="攻击力",IF(G16="Cost 3",30%,18%),0)</f>
        <v>0</v>
      </c>
      <c r="K36" s="42">
        <f>IF(AND(G17="衍射伤害",G16="Cost 3"),30%,0)</f>
        <v>0.3</v>
      </c>
      <c r="L36" s="43">
        <f>IF(G16="Cost 1",0,IF(G16="Cost 4",150,100))</f>
        <v>100</v>
      </c>
    </row>
    <row r="37" customHeight="1" spans="2:12">
      <c r="B37" s="1" t="s">
        <v>53</v>
      </c>
      <c r="C37" s="35">
        <f>29.59%*4+39.45%</f>
        <v>1.5781</v>
      </c>
      <c r="D37" s="1" t="s">
        <v>70</v>
      </c>
      <c r="H37" s="34" t="s">
        <v>76</v>
      </c>
      <c r="I37" s="42">
        <v>0</v>
      </c>
      <c r="J37" s="42">
        <v>0.18</v>
      </c>
      <c r="K37" s="42">
        <v>0</v>
      </c>
      <c r="L37" s="43">
        <f>IF(H16="Cost 1",0,IF(H16="Cost 4",150,100))</f>
        <v>0</v>
      </c>
    </row>
    <row r="38" customHeight="1" spans="2:12">
      <c r="B38" s="1" t="s">
        <v>44</v>
      </c>
      <c r="C38" s="35">
        <f>499.81%+1166.22%*IF(A2&gt;4,120%,0)</f>
        <v>4.9981</v>
      </c>
      <c r="D38" s="1" t="s">
        <v>77</v>
      </c>
      <c r="H38" s="34" t="s">
        <v>78</v>
      </c>
      <c r="I38" s="42">
        <v>0</v>
      </c>
      <c r="J38" s="42">
        <v>0.18</v>
      </c>
      <c r="K38" s="42">
        <v>0</v>
      </c>
      <c r="L38" s="43">
        <f>IF(I16="Cost 1",0,IF(I16="Cost 4",150,100))</f>
        <v>0</v>
      </c>
    </row>
    <row r="39" customHeight="1" spans="2:12">
      <c r="B39" s="1" t="s">
        <v>40</v>
      </c>
      <c r="C39" s="35">
        <f>159.05%+50%</f>
        <v>2.0905</v>
      </c>
      <c r="D39" s="1" t="s">
        <v>79</v>
      </c>
      <c r="I39" s="44">
        <f>SUM(I34:I38)</f>
        <v>0.44</v>
      </c>
      <c r="J39" s="44">
        <f>SUM(J34:J38)</f>
        <v>0.36</v>
      </c>
      <c r="K39" s="44">
        <f>SUM(K34:K38)</f>
        <v>0.6</v>
      </c>
      <c r="L39" s="43">
        <f>SUM(L34:L38)</f>
        <v>350</v>
      </c>
    </row>
    <row r="40" customHeight="1" spans="2:4">
      <c r="B40" s="1" t="s">
        <v>57</v>
      </c>
      <c r="C40" s="35">
        <f>19.89%*6</f>
        <v>1.1934</v>
      </c>
      <c r="D40" s="1" t="s">
        <v>70</v>
      </c>
    </row>
    <row r="41" customHeight="1" spans="2:4">
      <c r="B41" s="1" t="s">
        <v>58</v>
      </c>
      <c r="C41" s="35">
        <f>IF(A2&lt;6,1,1.45)*347.92%+IF(A2&lt;6,44.54%*50,44.54%*50*1.45)</f>
        <v>25.7492</v>
      </c>
      <c r="D41" s="1" t="s">
        <v>70</v>
      </c>
    </row>
    <row r="42" customHeight="1" spans="2:4">
      <c r="B42" s="1" t="s">
        <v>42</v>
      </c>
      <c r="C42" s="35">
        <f>48.64%+19.46%*5+48.64%*2+16%*14</f>
        <v>4.6722</v>
      </c>
      <c r="D42" s="1" t="s">
        <v>70</v>
      </c>
    </row>
  </sheetData>
  <mergeCells count="4">
    <mergeCell ref="A3:C3"/>
    <mergeCell ref="A8:C8"/>
    <mergeCell ref="A13:C13"/>
    <mergeCell ref="A18:D18"/>
  </mergeCells>
  <dataValidations count="9">
    <dataValidation type="list" allowBlank="1" showInputMessage="1" showErrorMessage="1" sqref="A2">
      <formula1>"0,1,2,3,4,5,6"</formula1>
    </dataValidation>
    <dataValidation type="list" allowBlank="1" showInputMessage="1" showErrorMessage="1" sqref="B2">
      <formula1>"时和岁稔,苍鳞千嶂,浩境粼光"</formula1>
    </dataValidation>
    <dataValidation type="list" allowBlank="1" showInputMessage="1" showErrorMessage="1" sqref="C2">
      <formula1>"1,2,3,4,5"</formula1>
    </dataValidation>
    <dataValidation allowBlank="1" showInputMessage="1" showErrorMessage="1" sqref="E16 H16 I16 H17 I17"/>
    <dataValidation type="list" allowBlank="1" showInputMessage="1" showErrorMessage="1" sqref="F16">
      <formula1>"Cost 4,Cost 3"</formula1>
    </dataValidation>
    <dataValidation type="list" allowBlank="1" showInputMessage="1" showErrorMessage="1" sqref="G16">
      <formula1>"Cost 4,Cost 3,Cost 1"</formula1>
    </dataValidation>
    <dataValidation type="list" allowBlank="1" showInputMessage="1" showErrorMessage="1" sqref="E17">
      <formula1>"双爆,攻击力"</formula1>
    </dataValidation>
    <dataValidation type="list" allowBlank="1" showInputMessage="1" showErrorMessage="1" sqref="F17:G17">
      <formula1>"双爆,攻击力,衍射伤害"</formula1>
    </dataValidation>
    <dataValidation type="list" allowBlank="1" showInputMessage="1" showErrorMessage="1" sqref="D2:D15">
      <formula1>$B$31:$B$42</formula1>
    </dataValidation>
  </dataValidations>
  <pageMargins left="0.75" right="0.75" top="1" bottom="1" header="0.5" footer="0.5"/>
  <headerFooter/>
  <ignoredErrors>
    <ignoredError sqref="G3 G5:G6 G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基础计算表</vt:lpstr>
      <vt:lpstr>武器数据库</vt:lpstr>
      <vt:lpstr>今汐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market02</dc:creator>
  <cp:lastModifiedBy>Dawn.</cp:lastModifiedBy>
  <dcterms:created xsi:type="dcterms:W3CDTF">2024-08-01T04:07:00Z</dcterms:created>
  <dcterms:modified xsi:type="dcterms:W3CDTF">2024-08-12T10:17:09Z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F29AEF2D1CD94BF2B5A3ED7A50ACB1A0_13</vt:lpwstr>
  </property>
  <property fmtid="{D5CDD505-2E9C-101B-9397-08002B2CF9AE}" pid="3" name="KSOProductBuildVer">
    <vt:lpwstr>2052-12.1.0.17147</vt:lpwstr>
  </property>
</Properties>
</file>